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\论文代码\ICAFusion-main\"/>
    </mc:Choice>
  </mc:AlternateContent>
  <xr:revisionPtr revIDLastSave="0" documentId="13_ncr:1_{D3BDC11C-2758-4496-B53A-5F9CCAD77784}" xr6:coauthVersionLast="47" xr6:coauthVersionMax="47" xr10:uidLastSave="{00000000-0000-0000-0000-000000000000}"/>
  <bookViews>
    <workbookView xWindow="-110" yWindow="-110" windowWidth="25820" windowHeight="15500" activeTab="3" xr2:uid="{CBF5923E-FE84-4139-A5B4-C57168635AC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2" l="1"/>
  <c r="M8" i="2"/>
  <c r="M14" i="2"/>
  <c r="M5" i="2"/>
  <c r="O18" i="2"/>
  <c r="O17" i="2"/>
  <c r="M7" i="2"/>
  <c r="M6" i="2"/>
  <c r="M4" i="2"/>
  <c r="L71" i="1"/>
  <c r="L70" i="1"/>
  <c r="L72" i="1"/>
  <c r="L73" i="1"/>
  <c r="L74" i="1"/>
  <c r="L75" i="1"/>
  <c r="L76" i="1"/>
  <c r="L77" i="1"/>
  <c r="L78" i="1"/>
  <c r="L79" i="1"/>
  <c r="A80" i="1"/>
  <c r="M21" i="3"/>
  <c r="M22" i="3"/>
  <c r="M23" i="3"/>
  <c r="M24" i="3"/>
  <c r="M25" i="3"/>
  <c r="M26" i="3"/>
  <c r="M27" i="3"/>
  <c r="M28" i="3"/>
  <c r="M29" i="3"/>
  <c r="M30" i="3"/>
  <c r="M31" i="3"/>
  <c r="R6" i="3"/>
  <c r="R7" i="3"/>
  <c r="R8" i="3"/>
  <c r="R9" i="3"/>
  <c r="R10" i="3"/>
  <c r="R11" i="3"/>
  <c r="R12" i="3"/>
  <c r="R13" i="3"/>
  <c r="L55" i="1"/>
  <c r="B31" i="3"/>
  <c r="K31" i="3"/>
  <c r="C31" i="3"/>
  <c r="D31" i="3"/>
  <c r="E31" i="3"/>
  <c r="F31" i="3"/>
  <c r="G31" i="3"/>
  <c r="H31" i="3"/>
  <c r="I31" i="3"/>
  <c r="L31" i="3"/>
  <c r="B55" i="1"/>
  <c r="C55" i="1"/>
  <c r="D55" i="1"/>
  <c r="E55" i="1"/>
  <c r="F55" i="1"/>
  <c r="G55" i="1"/>
  <c r="H55" i="1"/>
  <c r="I55" i="1"/>
  <c r="K55" i="1"/>
  <c r="K80" i="1"/>
  <c r="B80" i="1"/>
  <c r="C80" i="1"/>
  <c r="D80" i="1"/>
  <c r="L80" i="1" s="1"/>
  <c r="E80" i="1"/>
  <c r="F80" i="1"/>
  <c r="G80" i="1"/>
  <c r="H80" i="1"/>
  <c r="I80" i="1"/>
  <c r="J80" i="1"/>
  <c r="M10" i="2"/>
  <c r="M12" i="2"/>
</calcChain>
</file>

<file path=xl/sharedStrings.xml><?xml version="1.0" encoding="utf-8"?>
<sst xmlns="http://schemas.openxmlformats.org/spreadsheetml/2006/main" count="334" uniqueCount="150">
  <si>
    <t>stage1</t>
    <phoneticPr fontId="5" type="noConversion"/>
  </si>
  <si>
    <t>person</t>
    <phoneticPr fontId="5" type="noConversion"/>
  </si>
  <si>
    <t>car</t>
    <phoneticPr fontId="5" type="noConversion"/>
  </si>
  <si>
    <t>bicycle</t>
    <phoneticPr fontId="5" type="noConversion"/>
  </si>
  <si>
    <t>all</t>
    <phoneticPr fontId="5" type="noConversion"/>
  </si>
  <si>
    <t>params</t>
    <phoneticPr fontId="5" type="noConversion"/>
  </si>
  <si>
    <t>scan</t>
    <phoneticPr fontId="5" type="noConversion"/>
  </si>
  <si>
    <t>cross</t>
    <phoneticPr fontId="5" type="noConversion"/>
  </si>
  <si>
    <t>concat</t>
    <phoneticPr fontId="5" type="noConversion"/>
  </si>
  <si>
    <t>√</t>
  </si>
  <si>
    <t>√</t>
    <phoneticPr fontId="5" type="noConversion"/>
  </si>
  <si>
    <t xml:space="preserve"> </t>
    <phoneticPr fontId="5" type="noConversion"/>
  </si>
  <si>
    <t>stage2</t>
    <phoneticPr fontId="5" type="noConversion"/>
  </si>
  <si>
    <t>stage3</t>
    <phoneticPr fontId="5" type="noConversion"/>
  </si>
  <si>
    <t>84..9</t>
    <phoneticPr fontId="5" type="noConversion"/>
  </si>
  <si>
    <t>NiNfusion</t>
    <phoneticPr fontId="5" type="noConversion"/>
  </si>
  <si>
    <t>cross+2cross*2+insert*2</t>
    <phoneticPr fontId="5" type="noConversion"/>
  </si>
  <si>
    <t>cross+2cross*2+insert+concat</t>
    <phoneticPr fontId="5" type="noConversion"/>
  </si>
  <si>
    <t>nopretrain</t>
    <phoneticPr fontId="5" type="noConversion"/>
  </si>
  <si>
    <t>notrickmambafusion</t>
    <phoneticPr fontId="5" type="noConversion"/>
  </si>
  <si>
    <t>LLVIP</t>
    <phoneticPr fontId="5" type="noConversion"/>
  </si>
  <si>
    <t>baseline</t>
    <phoneticPr fontId="5" type="noConversion"/>
  </si>
  <si>
    <t>concatfinetune</t>
    <phoneticPr fontId="5" type="noConversion"/>
  </si>
  <si>
    <t>final</t>
    <phoneticPr fontId="5" type="noConversion"/>
  </si>
  <si>
    <t>FLIR</t>
    <phoneticPr fontId="5" type="noConversion"/>
  </si>
  <si>
    <t>map@0.5</t>
    <phoneticPr fontId="5" type="noConversion"/>
  </si>
  <si>
    <t>map@.5:.95</t>
    <phoneticPr fontId="5" type="noConversion"/>
  </si>
  <si>
    <t>M3FD</t>
    <phoneticPr fontId="5" type="noConversion"/>
  </si>
  <si>
    <t>VEDAI</t>
    <phoneticPr fontId="5" type="noConversion"/>
  </si>
  <si>
    <t>kaist</t>
    <phoneticPr fontId="5" type="noConversion"/>
  </si>
  <si>
    <t>CVC-14</t>
    <phoneticPr fontId="5" type="noConversion"/>
  </si>
  <si>
    <t>truck</t>
    <phoneticPr fontId="5" type="noConversion"/>
  </si>
  <si>
    <t>pickup</t>
    <phoneticPr fontId="5" type="noConversion"/>
  </si>
  <si>
    <t>tractor</t>
    <phoneticPr fontId="5" type="noConversion"/>
  </si>
  <si>
    <t>camper</t>
    <phoneticPr fontId="5" type="noConversion"/>
  </si>
  <si>
    <t>ship</t>
    <phoneticPr fontId="5" type="noConversion"/>
  </si>
  <si>
    <t>van</t>
    <phoneticPr fontId="5" type="noConversion"/>
  </si>
  <si>
    <t>plane</t>
    <phoneticPr fontId="5" type="noConversion"/>
  </si>
  <si>
    <t>People</t>
    <phoneticPr fontId="5" type="noConversion"/>
  </si>
  <si>
    <t>Car</t>
    <phoneticPr fontId="5" type="noConversion"/>
  </si>
  <si>
    <t>Bus</t>
    <phoneticPr fontId="5" type="noConversion"/>
  </si>
  <si>
    <t>Motorcycle</t>
    <phoneticPr fontId="5" type="noConversion"/>
  </si>
  <si>
    <t>Lamp</t>
    <phoneticPr fontId="5" type="noConversion"/>
  </si>
  <si>
    <t>Truck</t>
    <phoneticPr fontId="5" type="noConversion"/>
  </si>
  <si>
    <t>All</t>
    <phoneticPr fontId="5" type="noConversion"/>
  </si>
  <si>
    <t>cross+concat</t>
    <phoneticPr fontId="5" type="noConversion"/>
  </si>
  <si>
    <t>nopretrained</t>
    <phoneticPr fontId="5" type="noConversion"/>
  </si>
  <si>
    <t>nomosaic</t>
    <phoneticPr fontId="5" type="noConversion"/>
  </si>
  <si>
    <t xml:space="preserve">Cross+2Cross*2 </t>
    <phoneticPr fontId="5" type="noConversion"/>
  </si>
  <si>
    <t>others</t>
    <phoneticPr fontId="5" type="noConversion"/>
  </si>
  <si>
    <t>SSF</t>
    <phoneticPr fontId="5" type="noConversion"/>
  </si>
  <si>
    <t>ADD</t>
    <phoneticPr fontId="5" type="noConversion"/>
  </si>
  <si>
    <t>73.91M</t>
    <phoneticPr fontId="5" type="noConversion"/>
  </si>
  <si>
    <t>ResNet50</t>
    <phoneticPr fontId="5" type="noConversion"/>
  </si>
  <si>
    <t>72.69M</t>
    <phoneticPr fontId="5" type="noConversion"/>
  </si>
  <si>
    <t>224.88M</t>
    <phoneticPr fontId="5" type="noConversion"/>
  </si>
  <si>
    <t>77.50M</t>
    <phoneticPr fontId="5" type="noConversion"/>
  </si>
  <si>
    <t>nocross+concat</t>
    <phoneticPr fontId="5" type="noConversion"/>
  </si>
  <si>
    <t>91.75M</t>
    <phoneticPr fontId="5" type="noConversion"/>
  </si>
  <si>
    <t>semantic segmentation</t>
  </si>
  <si>
    <t>unlabeled</t>
    <phoneticPr fontId="5" type="noConversion"/>
  </si>
  <si>
    <t>bike</t>
    <phoneticPr fontId="5" type="noConversion"/>
  </si>
  <si>
    <t>curve</t>
    <phoneticPr fontId="5" type="noConversion"/>
  </si>
  <si>
    <t>car_stop</t>
    <phoneticPr fontId="5" type="noConversion"/>
  </si>
  <si>
    <t>guardrail</t>
    <phoneticPr fontId="5" type="noConversion"/>
  </si>
  <si>
    <t>color_cone</t>
    <phoneticPr fontId="5" type="noConversion"/>
  </si>
  <si>
    <t>bump</t>
    <phoneticPr fontId="5" type="noConversion"/>
  </si>
  <si>
    <t>class acc</t>
    <phoneticPr fontId="5" type="noConversion"/>
  </si>
  <si>
    <t>class IoU</t>
    <phoneticPr fontId="5" type="noConversion"/>
  </si>
  <si>
    <t>MFNet</t>
    <phoneticPr fontId="5" type="noConversion"/>
  </si>
  <si>
    <t>overall acc=64.9</t>
    <phoneticPr fontId="5" type="noConversion"/>
  </si>
  <si>
    <t>mIoU</t>
    <phoneticPr fontId="5" type="noConversion"/>
  </si>
  <si>
    <t xml:space="preserve">class avg </t>
  </si>
  <si>
    <t xml:space="preserve">class avg </t>
    <phoneticPr fontId="5" type="noConversion"/>
  </si>
  <si>
    <t>day</t>
    <phoneticPr fontId="5" type="noConversion"/>
  </si>
  <si>
    <t>night</t>
    <phoneticPr fontId="5" type="noConversion"/>
  </si>
  <si>
    <t>classavg</t>
    <phoneticPr fontId="5" type="noConversion"/>
  </si>
  <si>
    <t>MAM</t>
    <phoneticPr fontId="5" type="noConversion"/>
  </si>
  <si>
    <t>ICAFusion vedai</t>
    <phoneticPr fontId="5" type="noConversion"/>
  </si>
  <si>
    <t>Yolov8+SSF+FLIR</t>
    <phoneticPr fontId="5" type="noConversion"/>
  </si>
  <si>
    <t>yolov5_ssf_share</t>
    <phoneticPr fontId="5" type="noConversion"/>
  </si>
  <si>
    <t>130.22M</t>
    <phoneticPr fontId="5" type="noConversion"/>
  </si>
  <si>
    <t>share_ssf</t>
    <phoneticPr fontId="5" type="noConversion"/>
  </si>
  <si>
    <t>map</t>
    <phoneticPr fontId="5" type="noConversion"/>
  </si>
  <si>
    <t>nochangeC</t>
    <phoneticPr fontId="5" type="noConversion"/>
  </si>
  <si>
    <t>twice scan</t>
    <phoneticPr fontId="5" type="noConversion"/>
  </si>
  <si>
    <t>stage1+2</t>
    <phoneticPr fontId="5" type="noConversion"/>
  </si>
  <si>
    <t>ResNet+ssf</t>
    <phoneticPr fontId="5" type="noConversion"/>
  </si>
  <si>
    <t>VSS+ssf</t>
    <phoneticPr fontId="5" type="noConversion"/>
  </si>
  <si>
    <t>353.73M</t>
    <phoneticPr fontId="5" type="noConversion"/>
  </si>
  <si>
    <t>131.43M</t>
    <phoneticPr fontId="5" type="noConversion"/>
  </si>
  <si>
    <t>75.50M</t>
    <phoneticPr fontId="5" type="noConversion"/>
  </si>
  <si>
    <t>IR+IR</t>
    <phoneticPr fontId="5" type="noConversion"/>
  </si>
  <si>
    <t>RGB+RGB</t>
    <phoneticPr fontId="5" type="noConversion"/>
  </si>
  <si>
    <t>visible</t>
    <phoneticPr fontId="5" type="noConversion"/>
  </si>
  <si>
    <t>ir</t>
    <phoneticPr fontId="5" type="noConversion"/>
  </si>
  <si>
    <t>rgb</t>
    <phoneticPr fontId="5" type="noConversion"/>
  </si>
  <si>
    <t>speed</t>
    <phoneticPr fontId="5" type="noConversion"/>
  </si>
  <si>
    <t>ICAFusion</t>
    <phoneticPr fontId="5" type="noConversion"/>
  </si>
  <si>
    <t>SSF_share</t>
    <phoneticPr fontId="5" type="noConversion"/>
  </si>
  <si>
    <t>column</t>
    <phoneticPr fontId="5" type="noConversion"/>
  </si>
  <si>
    <t>VGG16</t>
    <phoneticPr fontId="5" type="noConversion"/>
  </si>
  <si>
    <t>41.50M</t>
    <phoneticPr fontId="5" type="noConversion"/>
  </si>
  <si>
    <t>ResNet</t>
    <phoneticPr fontId="5" type="noConversion"/>
  </si>
  <si>
    <t>CSPDarknet53</t>
    <phoneticPr fontId="5" type="noConversion"/>
  </si>
  <si>
    <t>60.20M</t>
    <phoneticPr fontId="5" type="noConversion"/>
  </si>
  <si>
    <t>VEDAI1024</t>
    <phoneticPr fontId="5" type="noConversion"/>
  </si>
  <si>
    <t>Baseline</t>
    <phoneticPr fontId="5" type="noConversion"/>
  </si>
  <si>
    <t>img_size</t>
    <phoneticPr fontId="5" type="noConversion"/>
  </si>
  <si>
    <t>S3Fusion</t>
    <phoneticPr fontId="5" type="noConversion"/>
  </si>
  <si>
    <t>noshare</t>
    <phoneticPr fontId="5" type="noConversion"/>
  </si>
  <si>
    <t>Semantic</t>
    <phoneticPr fontId="5" type="noConversion"/>
  </si>
  <si>
    <t>background</t>
    <phoneticPr fontId="5" type="noConversion"/>
  </si>
  <si>
    <t>cars top</t>
    <phoneticPr fontId="5" type="noConversion"/>
  </si>
  <si>
    <t>bicyclist</t>
    <phoneticPr fontId="5" type="noConversion"/>
  </si>
  <si>
    <t>motorcycle</t>
    <phoneticPr fontId="5" type="noConversion"/>
  </si>
  <si>
    <t>motorcyclist</t>
    <phoneticPr fontId="5" type="noConversion"/>
  </si>
  <si>
    <t>tricycle</t>
    <phoneticPr fontId="5" type="noConversion"/>
  </si>
  <si>
    <t>traffic light</t>
    <phoneticPr fontId="5" type="noConversion"/>
  </si>
  <si>
    <t>box</t>
    <phoneticPr fontId="5" type="noConversion"/>
  </si>
  <si>
    <t>pole</t>
    <phoneticPr fontId="5" type="noConversion"/>
  </si>
  <si>
    <t>VT821</t>
    <phoneticPr fontId="5" type="noConversion"/>
  </si>
  <si>
    <t>MAE</t>
    <phoneticPr fontId="5" type="noConversion"/>
  </si>
  <si>
    <t>Fm</t>
    <phoneticPr fontId="5" type="noConversion"/>
  </si>
  <si>
    <t>Sm</t>
    <phoneticPr fontId="5" type="noConversion"/>
  </si>
  <si>
    <t>Em</t>
    <phoneticPr fontId="5" type="noConversion"/>
  </si>
  <si>
    <t>VT1000</t>
    <phoneticPr fontId="5" type="noConversion"/>
  </si>
  <si>
    <t>VT5000</t>
    <phoneticPr fontId="5" type="noConversion"/>
  </si>
  <si>
    <t>MTMR</t>
    <phoneticPr fontId="5" type="noConversion"/>
  </si>
  <si>
    <t>M3S-NIR</t>
    <phoneticPr fontId="5" type="noConversion"/>
  </si>
  <si>
    <t>SGDL</t>
    <phoneticPr fontId="5" type="noConversion"/>
  </si>
  <si>
    <t>PoolNet*[43]</t>
  </si>
  <si>
    <t>R3Net*[34]</t>
  </si>
  <si>
    <t>CPD*[35]</t>
  </si>
  <si>
    <t>MMCI*[36]</t>
  </si>
  <si>
    <t>TANet*[38]</t>
  </si>
  <si>
    <t>S2MA*[39]</t>
  </si>
  <si>
    <t>JLDCF*[41]</t>
  </si>
  <si>
    <t>FMCF[7]</t>
  </si>
  <si>
    <t>ADF[40]</t>
  </si>
  <si>
    <t>MIDD[42]</t>
  </si>
  <si>
    <t>CAVER</t>
    <phoneticPr fontId="5" type="noConversion"/>
  </si>
  <si>
    <t>AFNet*[37]</t>
    <phoneticPr fontId="5" type="noConversion"/>
  </si>
  <si>
    <t>MSEDNET</t>
    <phoneticPr fontId="5" type="noConversion"/>
  </si>
  <si>
    <t>S3F_MSEDNET</t>
    <phoneticPr fontId="5" type="noConversion"/>
  </si>
  <si>
    <t>LSNet</t>
    <phoneticPr fontId="5" type="noConversion"/>
  </si>
  <si>
    <t>S3F_LSNet</t>
    <phoneticPr fontId="5" type="noConversion"/>
  </si>
  <si>
    <t>MSEDNET_paper</t>
    <phoneticPr fontId="5" type="noConversion"/>
  </si>
  <si>
    <t>S3F_MSEDNET_pretrained</t>
    <phoneticPr fontId="5" type="noConversion"/>
  </si>
  <si>
    <t>MSEDNET_pretrained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</si>
</sst>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48118533890809E-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/>
  </cellStyleXfs>
  <cellXfs count="1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6" fontId="6" fillId="4" borderId="0" xfId="0" applyNumberFormat="1" applyFon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0" fillId="11" borderId="1" xfId="0" applyFill="1" applyBorder="1">
      <alignment vertical="center"/>
    </xf>
    <xf numFmtId="0" fontId="0" fillId="11" borderId="2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12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0" fillId="12" borderId="1" xfId="0" applyFill="1" applyBorder="1">
      <alignment vertical="center"/>
    </xf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>
      <alignment vertical="center"/>
    </xf>
    <xf numFmtId="0" fontId="0" fillId="13" borderId="0" xfId="0" applyFill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2" xfId="0" applyFill="1" applyBorder="1">
      <alignment vertical="center"/>
    </xf>
    <xf numFmtId="0" fontId="0" fillId="14" borderId="0" xfId="0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15" borderId="0" xfId="0" applyFill="1">
      <alignment vertical="center"/>
    </xf>
    <xf numFmtId="0" fontId="0" fillId="15" borderId="0" xfId="0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0" fillId="16" borderId="0" xfId="0" applyFill="1">
      <alignment vertical="center"/>
    </xf>
    <xf numFmtId="0" fontId="0" fillId="16" borderId="0" xfId="0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0" fillId="17" borderId="0" xfId="0" applyFill="1">
      <alignment vertical="center"/>
    </xf>
    <xf numFmtId="0" fontId="0" fillId="17" borderId="0" xfId="0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18" borderId="25" xfId="0" applyFill="1" applyBorder="1">
      <alignment vertical="center"/>
    </xf>
    <xf numFmtId="0" fontId="0" fillId="18" borderId="26" xfId="0" applyFill="1" applyBorder="1">
      <alignment vertical="center"/>
    </xf>
    <xf numFmtId="0" fontId="0" fillId="18" borderId="0" xfId="0" applyFill="1">
      <alignment vertical="center"/>
    </xf>
    <xf numFmtId="0" fontId="0" fillId="18" borderId="2" xfId="0" applyFill="1" applyBorder="1">
      <alignment vertical="center"/>
    </xf>
    <xf numFmtId="0" fontId="0" fillId="18" borderId="28" xfId="0" applyFill="1" applyBorder="1">
      <alignment vertical="center"/>
    </xf>
    <xf numFmtId="0" fontId="0" fillId="18" borderId="29" xfId="0" applyFill="1" applyBorder="1">
      <alignment vertical="center"/>
    </xf>
    <xf numFmtId="0" fontId="0" fillId="19" borderId="24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0" fillId="19" borderId="26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0" fillId="20" borderId="16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0" fillId="20" borderId="22" xfId="0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1">
      <alignment vertical="center"/>
    </xf>
    <xf numFmtId="0" fontId="6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0" fontId="3" fillId="0" borderId="0" xfId="2"/>
    <xf numFmtId="0" fontId="2" fillId="0" borderId="0" xfId="2" applyFont="1"/>
    <xf numFmtId="0" fontId="0" fillId="14" borderId="0" xfId="0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18" borderId="24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1" fillId="0" borderId="0" xfId="2" applyFont="1"/>
    <xf numFmtId="0" fontId="3" fillId="0" borderId="0" xfId="2" applyFill="1"/>
  </cellXfs>
  <cellStyles count="3">
    <cellStyle name="常规" xfId="0" builtinId="0"/>
    <cellStyle name="常规 2" xfId="2" xr:uid="{2DAA754D-95E8-4770-BB63-E087483FF56E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600">
                <a:latin typeface="Times New Roman" panose="02020603050405020304" pitchFamily="18" charset="0"/>
                <a:cs typeface="Times New Roman" panose="02020603050405020304" pitchFamily="18" charset="0"/>
              </a:rPr>
              <a:t>computing capabilities required for the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Sheet3!$T$1</c:f>
              <c:strCache>
                <c:ptCount val="1"/>
                <c:pt idx="0">
                  <c:v>Baseline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Sheet3!$S$2:$S$13</c:f>
              <c:numCache>
                <c:formatCode>General</c:formatCode>
                <c:ptCount val="12"/>
                <c:pt idx="0">
                  <c:v>4096</c:v>
                </c:pt>
                <c:pt idx="1">
                  <c:v>16384</c:v>
                </c:pt>
                <c:pt idx="2">
                  <c:v>50176</c:v>
                </c:pt>
                <c:pt idx="3">
                  <c:v>65536</c:v>
                </c:pt>
                <c:pt idx="4">
                  <c:v>230400</c:v>
                </c:pt>
                <c:pt idx="5">
                  <c:v>262144</c:v>
                </c:pt>
                <c:pt idx="6">
                  <c:v>409600</c:v>
                </c:pt>
                <c:pt idx="7">
                  <c:v>589824</c:v>
                </c:pt>
                <c:pt idx="8">
                  <c:v>1048576</c:v>
                </c:pt>
                <c:pt idx="9">
                  <c:v>1638400</c:v>
                </c:pt>
                <c:pt idx="10">
                  <c:v>3686400</c:v>
                </c:pt>
                <c:pt idx="11">
                  <c:v>6553600</c:v>
                </c:pt>
              </c:numCache>
            </c:numRef>
          </c:xVal>
          <c:yVal>
            <c:numRef>
              <c:f>Sheet3!$T$2:$T$13</c:f>
              <c:numCache>
                <c:formatCode>General</c:formatCode>
                <c:ptCount val="12"/>
                <c:pt idx="0">
                  <c:v>0.89</c:v>
                </c:pt>
                <c:pt idx="1">
                  <c:v>3.54</c:v>
                </c:pt>
                <c:pt idx="2">
                  <c:v>10.84</c:v>
                </c:pt>
                <c:pt idx="3">
                  <c:v>14.16</c:v>
                </c:pt>
                <c:pt idx="4">
                  <c:v>49.79</c:v>
                </c:pt>
                <c:pt idx="5">
                  <c:v>56.65</c:v>
                </c:pt>
                <c:pt idx="6">
                  <c:v>88.52</c:v>
                </c:pt>
                <c:pt idx="7">
                  <c:v>127.47</c:v>
                </c:pt>
                <c:pt idx="8">
                  <c:v>226.61</c:v>
                </c:pt>
                <c:pt idx="9">
                  <c:v>354.07</c:v>
                </c:pt>
                <c:pt idx="10">
                  <c:v>796.67</c:v>
                </c:pt>
                <c:pt idx="11">
                  <c:v>1416.3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ser>
          <c:idx val="1"/>
          <c:order val="1"/>
          <c:tx>
            <c:strRef>
              <c:f>Sheet3!$U$1</c:f>
              <c:strCache>
                <c:ptCount val="1"/>
                <c:pt idx="0">
                  <c:v>S3Fusion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Sheet3!$S$2:$S$13</c:f>
              <c:numCache>
                <c:formatCode>General</c:formatCode>
                <c:ptCount val="12"/>
                <c:pt idx="0">
                  <c:v>4096</c:v>
                </c:pt>
                <c:pt idx="1">
                  <c:v>16384</c:v>
                </c:pt>
                <c:pt idx="2">
                  <c:v>50176</c:v>
                </c:pt>
                <c:pt idx="3">
                  <c:v>65536</c:v>
                </c:pt>
                <c:pt idx="4">
                  <c:v>230400</c:v>
                </c:pt>
                <c:pt idx="5">
                  <c:v>262144</c:v>
                </c:pt>
                <c:pt idx="6">
                  <c:v>409600</c:v>
                </c:pt>
                <c:pt idx="7">
                  <c:v>589824</c:v>
                </c:pt>
                <c:pt idx="8">
                  <c:v>1048576</c:v>
                </c:pt>
                <c:pt idx="9">
                  <c:v>1638400</c:v>
                </c:pt>
                <c:pt idx="10">
                  <c:v>3686400</c:v>
                </c:pt>
                <c:pt idx="11">
                  <c:v>6553600</c:v>
                </c:pt>
              </c:numCache>
            </c:numRef>
          </c:xVal>
          <c:yVal>
            <c:numRef>
              <c:f>Sheet3!$U$2:$U$13</c:f>
              <c:numCache>
                <c:formatCode>General</c:formatCode>
                <c:ptCount val="12"/>
                <c:pt idx="0">
                  <c:v>1.41</c:v>
                </c:pt>
                <c:pt idx="1">
                  <c:v>5.61</c:v>
                </c:pt>
                <c:pt idx="2">
                  <c:v>17.18</c:v>
                </c:pt>
                <c:pt idx="3">
                  <c:v>22.44</c:v>
                </c:pt>
                <c:pt idx="4">
                  <c:v>78.89</c:v>
                </c:pt>
                <c:pt idx="5">
                  <c:v>89.76</c:v>
                </c:pt>
                <c:pt idx="6">
                  <c:v>140.24</c:v>
                </c:pt>
                <c:pt idx="7">
                  <c:v>201.95</c:v>
                </c:pt>
                <c:pt idx="8">
                  <c:v>359.02</c:v>
                </c:pt>
                <c:pt idx="9">
                  <c:v>560.96</c:v>
                </c:pt>
                <c:pt idx="10">
                  <c:v>1262.1600000000001</c:v>
                </c:pt>
                <c:pt idx="11">
                  <c:v>2243.84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D-46FC-8A87-90194297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width×height</a:t>
                </a:r>
                <a:endParaRPr lang="zh-CN" alt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4443008"/>
        <c:crosses val="autoZero"/>
        <c:crossBetween val="midCat"/>
      </c:valAx>
      <c:valAx>
        <c:axId val="5444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FLOPs/G</a:t>
                </a:r>
                <a:endParaRPr lang="zh-CN" alt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25605</xdr:colOff>
      <xdr:row>15</xdr:row>
      <xdr:rowOff>47206</xdr:rowOff>
    </xdr:from>
    <xdr:to>
      <xdr:col>25</xdr:col>
      <xdr:colOff>170068</xdr:colOff>
      <xdr:row>39</xdr:row>
      <xdr:rowOff>81121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902344C-7A2A-9415-2F5A-6B8D67AC0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p@0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C057-BECE-4FF1-8099-104804A829B1}">
  <dimension ref="A1:AD88"/>
  <sheetViews>
    <sheetView topLeftCell="A33" zoomScaleNormal="100" workbookViewId="0">
      <selection activeCell="K47" sqref="K47"/>
    </sheetView>
  </sheetViews>
  <sheetFormatPr defaultRowHeight="14" x14ac:dyDescent="0.3"/>
  <cols>
    <col min="1" max="1" width="20.25" bestFit="1" customWidth="1"/>
    <col min="2" max="2" width="11.83203125" bestFit="1" customWidth="1"/>
    <col min="3" max="3" width="10.83203125" bestFit="1" customWidth="1"/>
    <col min="6" max="6" width="11.4140625" bestFit="1" customWidth="1"/>
    <col min="7" max="7" width="8.1640625" bestFit="1" customWidth="1"/>
    <col min="8" max="9" width="9.75" bestFit="1" customWidth="1"/>
    <col min="11" max="11" width="11.33203125" bestFit="1" customWidth="1"/>
  </cols>
  <sheetData>
    <row r="1" spans="1:23" x14ac:dyDescent="0.3">
      <c r="A1" s="138" t="s">
        <v>0</v>
      </c>
      <c r="B1" s="138"/>
      <c r="C1" s="136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L1" s="138" t="s">
        <v>0</v>
      </c>
      <c r="M1" s="138"/>
      <c r="N1" s="135" t="s">
        <v>12</v>
      </c>
      <c r="O1" s="136"/>
      <c r="P1" s="135" t="s">
        <v>13</v>
      </c>
      <c r="Q1" s="136"/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</row>
    <row r="2" spans="1:23" x14ac:dyDescent="0.3">
      <c r="A2" s="1" t="s">
        <v>6</v>
      </c>
      <c r="B2" s="1" t="s">
        <v>7</v>
      </c>
      <c r="C2" s="2" t="s">
        <v>8</v>
      </c>
      <c r="D2" s="1"/>
      <c r="E2" s="1"/>
      <c r="F2" s="1"/>
      <c r="G2" s="1"/>
      <c r="H2" s="1"/>
      <c r="L2" s="1" t="s">
        <v>6</v>
      </c>
      <c r="M2" s="1" t="s">
        <v>7</v>
      </c>
      <c r="N2" s="8" t="s">
        <v>6</v>
      </c>
      <c r="O2" s="2" t="s">
        <v>7</v>
      </c>
      <c r="P2" s="8" t="s">
        <v>6</v>
      </c>
      <c r="Q2" s="2" t="s">
        <v>7</v>
      </c>
    </row>
    <row r="3" spans="1:23" x14ac:dyDescent="0.3">
      <c r="A3" s="126"/>
      <c r="B3" s="126"/>
      <c r="C3" s="126"/>
      <c r="D3" s="4">
        <v>85.4</v>
      </c>
      <c r="E3" s="3">
        <v>90.1</v>
      </c>
      <c r="F3" s="3">
        <v>71.599999999999994</v>
      </c>
      <c r="G3" s="3">
        <v>82.4</v>
      </c>
      <c r="H3" s="126">
        <v>84.53</v>
      </c>
      <c r="I3" s="126">
        <v>1</v>
      </c>
      <c r="L3" s="137"/>
      <c r="M3" s="123" t="s">
        <v>10</v>
      </c>
      <c r="N3" s="132" t="s">
        <v>10</v>
      </c>
      <c r="O3" s="131"/>
      <c r="P3" s="132" t="s">
        <v>9</v>
      </c>
      <c r="Q3" s="131"/>
      <c r="R3" s="14">
        <v>86.5</v>
      </c>
      <c r="S3" s="14">
        <v>90.4</v>
      </c>
      <c r="T3" s="14">
        <v>72.099999999999994</v>
      </c>
      <c r="U3" s="14">
        <v>83</v>
      </c>
      <c r="V3" s="123">
        <v>98.55</v>
      </c>
      <c r="W3" s="123">
        <v>1</v>
      </c>
    </row>
    <row r="4" spans="1:23" x14ac:dyDescent="0.3">
      <c r="A4" s="126"/>
      <c r="B4" s="126"/>
      <c r="C4" s="126"/>
      <c r="D4" s="4">
        <v>84.4</v>
      </c>
      <c r="E4" s="3">
        <v>90.1</v>
      </c>
      <c r="F4" s="3">
        <v>73.900000000000006</v>
      </c>
      <c r="G4" s="3">
        <v>82.8</v>
      </c>
      <c r="H4" s="126"/>
      <c r="I4" s="126"/>
      <c r="L4" s="137"/>
      <c r="M4" s="123"/>
      <c r="N4" s="132"/>
      <c r="O4" s="131"/>
      <c r="P4" s="132"/>
      <c r="Q4" s="131"/>
      <c r="R4" s="14">
        <v>84.9</v>
      </c>
      <c r="S4" s="14">
        <v>90.8</v>
      </c>
      <c r="T4" s="14">
        <v>74.099999999999994</v>
      </c>
      <c r="U4" s="14">
        <v>83.3</v>
      </c>
      <c r="V4" s="123"/>
      <c r="W4" s="123"/>
    </row>
    <row r="5" spans="1:23" x14ac:dyDescent="0.3">
      <c r="A5" s="126"/>
      <c r="B5" s="126"/>
      <c r="C5" s="126"/>
      <c r="D5" s="4">
        <v>84.6</v>
      </c>
      <c r="E5" s="3">
        <v>90.8</v>
      </c>
      <c r="F5" s="3">
        <v>73.400000000000006</v>
      </c>
      <c r="G5" s="3">
        <v>82.9</v>
      </c>
      <c r="H5" s="126"/>
      <c r="I5" s="126"/>
      <c r="L5" s="137"/>
      <c r="M5" s="123"/>
      <c r="N5" s="132"/>
      <c r="O5" s="131"/>
      <c r="P5" s="132"/>
      <c r="Q5" s="131"/>
      <c r="R5" s="14">
        <v>86.5</v>
      </c>
      <c r="S5" s="14">
        <v>90.5</v>
      </c>
      <c r="T5" s="14">
        <v>73.099999999999994</v>
      </c>
      <c r="U5" s="14">
        <v>83.4</v>
      </c>
      <c r="V5" s="123"/>
      <c r="W5" s="123"/>
    </row>
    <row r="6" spans="1:23" x14ac:dyDescent="0.3">
      <c r="A6" s="44" t="s">
        <v>9</v>
      </c>
      <c r="B6" s="44" t="s">
        <v>11</v>
      </c>
      <c r="C6" s="44"/>
      <c r="D6" s="44">
        <v>86</v>
      </c>
      <c r="E6" s="44">
        <v>90.8</v>
      </c>
      <c r="F6" s="44">
        <v>71</v>
      </c>
      <c r="G6" s="44">
        <v>82.6</v>
      </c>
      <c r="H6" s="44">
        <v>85.34</v>
      </c>
      <c r="I6" s="44">
        <v>2</v>
      </c>
      <c r="L6" s="137"/>
      <c r="M6" s="123"/>
      <c r="N6" s="132"/>
      <c r="O6" s="131"/>
      <c r="P6" s="132"/>
      <c r="Q6" s="131"/>
      <c r="R6" s="14">
        <v>85.2</v>
      </c>
      <c r="S6" s="14">
        <v>90.3</v>
      </c>
      <c r="T6" s="14">
        <v>74.599999999999994</v>
      </c>
      <c r="U6" s="14">
        <v>83.4</v>
      </c>
      <c r="V6" s="123"/>
      <c r="W6" s="123"/>
    </row>
    <row r="7" spans="1:23" x14ac:dyDescent="0.3">
      <c r="A7" s="139"/>
      <c r="B7" s="139" t="s">
        <v>10</v>
      </c>
      <c r="C7" s="139"/>
      <c r="D7" s="5">
        <v>83.8</v>
      </c>
      <c r="E7" s="5">
        <v>89.8</v>
      </c>
      <c r="F7" s="5">
        <v>72.7</v>
      </c>
      <c r="G7" s="38">
        <v>82.1</v>
      </c>
      <c r="H7" s="139">
        <v>84.53</v>
      </c>
      <c r="I7" s="124">
        <v>3</v>
      </c>
      <c r="L7" s="50"/>
      <c r="M7" s="51" t="s">
        <v>10</v>
      </c>
      <c r="N7" s="51" t="s">
        <v>10</v>
      </c>
      <c r="O7" s="51" t="s">
        <v>9</v>
      </c>
      <c r="P7" s="51" t="s">
        <v>10</v>
      </c>
      <c r="Q7" s="51" t="s">
        <v>11</v>
      </c>
      <c r="R7" s="52">
        <v>85.2</v>
      </c>
      <c r="S7" s="52">
        <v>89.7</v>
      </c>
      <c r="T7" s="52">
        <v>72.099999999999994</v>
      </c>
      <c r="U7" s="52">
        <v>82.3</v>
      </c>
      <c r="V7" s="52">
        <v>98.55</v>
      </c>
      <c r="W7" s="50"/>
    </row>
    <row r="8" spans="1:23" x14ac:dyDescent="0.3">
      <c r="A8" s="139"/>
      <c r="B8" s="139"/>
      <c r="C8" s="139"/>
      <c r="D8" s="5">
        <v>86.1</v>
      </c>
      <c r="E8" s="5">
        <v>90.2</v>
      </c>
      <c r="F8" s="5">
        <v>71.3</v>
      </c>
      <c r="G8" s="38">
        <v>82.5</v>
      </c>
      <c r="H8" s="139"/>
      <c r="I8" s="124"/>
      <c r="L8" s="133"/>
      <c r="M8" s="133" t="s">
        <v>10</v>
      </c>
      <c r="N8" s="133" t="s">
        <v>10</v>
      </c>
      <c r="O8" s="133" t="s">
        <v>9</v>
      </c>
      <c r="P8" s="133" t="s">
        <v>10</v>
      </c>
      <c r="Q8" s="133" t="s">
        <v>10</v>
      </c>
      <c r="R8" s="55">
        <v>84.9</v>
      </c>
      <c r="S8" s="55">
        <v>90.3</v>
      </c>
      <c r="T8" s="55">
        <v>75.2</v>
      </c>
      <c r="U8" s="55">
        <v>83.5</v>
      </c>
      <c r="V8" s="134">
        <v>98.55</v>
      </c>
      <c r="W8" s="53"/>
    </row>
    <row r="9" spans="1:23" x14ac:dyDescent="0.3">
      <c r="A9" s="140"/>
      <c r="B9" s="140"/>
      <c r="C9" s="140" t="s">
        <v>9</v>
      </c>
      <c r="D9" s="45">
        <v>85.4</v>
      </c>
      <c r="E9" s="45">
        <v>90.1</v>
      </c>
      <c r="F9" s="45">
        <v>69.8</v>
      </c>
      <c r="G9" s="46">
        <v>81.8</v>
      </c>
      <c r="H9" s="140">
        <v>85.95</v>
      </c>
      <c r="I9" s="125">
        <v>4</v>
      </c>
      <c r="L9" s="133"/>
      <c r="M9" s="133"/>
      <c r="N9" s="133"/>
      <c r="O9" s="133"/>
      <c r="P9" s="133"/>
      <c r="Q9" s="133"/>
      <c r="R9" s="54">
        <v>84.6</v>
      </c>
      <c r="S9" s="54">
        <v>89.3</v>
      </c>
      <c r="T9" s="54">
        <v>73.3</v>
      </c>
      <c r="U9" s="54">
        <v>82.4</v>
      </c>
      <c r="V9" s="134"/>
      <c r="W9" s="53"/>
    </row>
    <row r="10" spans="1:23" x14ac:dyDescent="0.3">
      <c r="A10" s="140"/>
      <c r="B10" s="140"/>
      <c r="C10" s="140"/>
      <c r="D10" s="6">
        <v>84.9</v>
      </c>
      <c r="E10" s="6">
        <v>90.1</v>
      </c>
      <c r="F10" s="6">
        <v>72.400000000000006</v>
      </c>
      <c r="G10" s="39">
        <v>82.5</v>
      </c>
      <c r="H10" s="140"/>
      <c r="I10" s="125"/>
      <c r="L10" s="56"/>
      <c r="M10" s="57" t="s">
        <v>10</v>
      </c>
      <c r="N10" s="57" t="s">
        <v>10</v>
      </c>
      <c r="O10" s="57" t="s">
        <v>11</v>
      </c>
      <c r="P10" s="57" t="s">
        <v>10</v>
      </c>
      <c r="Q10" s="57" t="s">
        <v>10</v>
      </c>
      <c r="R10" s="58">
        <v>85.1</v>
      </c>
      <c r="S10" s="58">
        <v>89.8</v>
      </c>
      <c r="T10" s="58">
        <v>71.8</v>
      </c>
      <c r="U10" s="58">
        <v>82.2</v>
      </c>
      <c r="V10" s="58">
        <v>98.55</v>
      </c>
      <c r="W10" s="56"/>
    </row>
    <row r="11" spans="1:23" x14ac:dyDescent="0.3">
      <c r="A11" s="127" t="s">
        <v>9</v>
      </c>
      <c r="B11" s="127" t="s">
        <v>9</v>
      </c>
      <c r="C11" s="127"/>
      <c r="D11" s="43">
        <v>84.6</v>
      </c>
      <c r="E11" s="43">
        <v>90.1</v>
      </c>
      <c r="F11" s="43">
        <v>71.599999999999994</v>
      </c>
      <c r="G11" s="47">
        <v>82.1</v>
      </c>
      <c r="H11" s="127">
        <v>85.34</v>
      </c>
      <c r="I11" s="127">
        <v>5</v>
      </c>
      <c r="L11" s="15"/>
      <c r="M11" s="15" t="s">
        <v>9</v>
      </c>
      <c r="N11" s="16"/>
      <c r="O11" s="17" t="s">
        <v>9</v>
      </c>
      <c r="P11" s="16" t="s">
        <v>9</v>
      </c>
      <c r="Q11" s="17"/>
      <c r="R11" s="15">
        <v>84.8</v>
      </c>
      <c r="S11" s="15">
        <v>90.2</v>
      </c>
      <c r="T11" s="15">
        <v>71.7</v>
      </c>
      <c r="U11" s="15">
        <v>82.2</v>
      </c>
      <c r="V11" s="15">
        <v>98.38</v>
      </c>
      <c r="W11" s="15">
        <v>5</v>
      </c>
    </row>
    <row r="12" spans="1:23" x14ac:dyDescent="0.3">
      <c r="A12" s="127"/>
      <c r="B12" s="127"/>
      <c r="C12" s="127"/>
      <c r="D12" s="43">
        <v>84.5</v>
      </c>
      <c r="E12" s="43">
        <v>90.7</v>
      </c>
      <c r="F12" s="43">
        <v>72.8</v>
      </c>
      <c r="G12" s="47">
        <v>82.6</v>
      </c>
      <c r="H12" s="127"/>
      <c r="I12" s="127"/>
      <c r="L12" s="29"/>
      <c r="M12" s="30" t="s">
        <v>9</v>
      </c>
      <c r="N12" s="31"/>
      <c r="O12" s="32" t="s">
        <v>9</v>
      </c>
      <c r="P12" s="31"/>
      <c r="Q12" s="33"/>
      <c r="R12" s="30">
        <v>86.3</v>
      </c>
      <c r="S12" s="30">
        <v>90.1</v>
      </c>
      <c r="T12" s="30">
        <v>70.099999999999994</v>
      </c>
      <c r="U12" s="30">
        <v>82.4</v>
      </c>
      <c r="V12" s="30">
        <v>97.79</v>
      </c>
      <c r="W12" s="30">
        <v>7</v>
      </c>
    </row>
    <row r="13" spans="1:23" ht="14.5" thickBot="1" x14ac:dyDescent="0.35">
      <c r="A13" s="128"/>
      <c r="B13" s="128"/>
      <c r="C13" s="128"/>
      <c r="D13" s="48">
        <v>84.9</v>
      </c>
      <c r="E13" s="48">
        <v>90.8</v>
      </c>
      <c r="F13" s="48">
        <v>72.099999999999994</v>
      </c>
      <c r="G13" s="49">
        <v>82.6</v>
      </c>
      <c r="H13" s="128"/>
      <c r="I13" s="128"/>
      <c r="L13" s="26"/>
      <c r="M13" s="9" t="s">
        <v>10</v>
      </c>
      <c r="N13" s="27"/>
      <c r="O13" s="28"/>
      <c r="P13" s="27"/>
      <c r="Q13" s="28"/>
      <c r="R13" s="9">
        <v>85.2</v>
      </c>
      <c r="S13" s="9">
        <v>90.9</v>
      </c>
      <c r="T13" s="9">
        <v>69.5</v>
      </c>
      <c r="U13" s="9">
        <v>81.900000000000006</v>
      </c>
      <c r="V13" s="9">
        <v>97.79</v>
      </c>
      <c r="W13" s="9">
        <v>8</v>
      </c>
    </row>
    <row r="14" spans="1:23" ht="14.5" thickTop="1" x14ac:dyDescent="0.3">
      <c r="A14" s="148"/>
      <c r="B14" s="148" t="s">
        <v>10</v>
      </c>
      <c r="C14" s="148" t="s">
        <v>9</v>
      </c>
      <c r="D14" s="7">
        <v>84.8</v>
      </c>
      <c r="E14" s="7">
        <v>90.6</v>
      </c>
      <c r="F14" s="7">
        <v>69.8</v>
      </c>
      <c r="G14" s="13">
        <v>81.8</v>
      </c>
      <c r="H14" s="148">
        <v>97.79</v>
      </c>
      <c r="I14" s="148">
        <v>6</v>
      </c>
      <c r="L14" s="18"/>
      <c r="M14" s="18"/>
      <c r="N14" s="19" t="s">
        <v>9</v>
      </c>
      <c r="O14" s="20"/>
      <c r="P14" s="19" t="s">
        <v>9</v>
      </c>
      <c r="Q14" s="20"/>
      <c r="R14" s="21">
        <v>84.9</v>
      </c>
      <c r="S14" s="21">
        <v>90.2</v>
      </c>
      <c r="T14" s="21">
        <v>71.900000000000006</v>
      </c>
      <c r="U14" s="21">
        <v>82.3</v>
      </c>
      <c r="V14" s="21">
        <v>98.55</v>
      </c>
      <c r="W14" s="21">
        <v>2</v>
      </c>
    </row>
    <row r="15" spans="1:23" x14ac:dyDescent="0.3">
      <c r="A15" s="148"/>
      <c r="B15" s="148"/>
      <c r="C15" s="148"/>
      <c r="D15" s="7">
        <v>84.5</v>
      </c>
      <c r="E15" s="7">
        <v>90.4</v>
      </c>
      <c r="F15" s="7">
        <v>71.400000000000006</v>
      </c>
      <c r="G15" s="13">
        <v>82.1</v>
      </c>
      <c r="H15" s="148"/>
      <c r="I15" s="148"/>
      <c r="L15" s="34" t="s">
        <v>9</v>
      </c>
      <c r="M15" s="34" t="s">
        <v>9</v>
      </c>
      <c r="N15" s="35" t="s">
        <v>9</v>
      </c>
      <c r="O15" s="36"/>
      <c r="P15" s="35" t="s">
        <v>9</v>
      </c>
      <c r="Q15" s="36"/>
      <c r="R15" s="34">
        <v>83.8</v>
      </c>
      <c r="S15" s="34">
        <v>89.7</v>
      </c>
      <c r="T15" s="34">
        <v>72.2</v>
      </c>
      <c r="U15" s="34">
        <v>81.900000000000006</v>
      </c>
      <c r="V15" s="34">
        <v>98.6</v>
      </c>
      <c r="W15" s="34">
        <v>3</v>
      </c>
    </row>
    <row r="16" spans="1:23" x14ac:dyDescent="0.3">
      <c r="A16" s="148"/>
      <c r="B16" s="148"/>
      <c r="C16" s="148"/>
      <c r="D16" s="7">
        <v>84.7</v>
      </c>
      <c r="E16" s="7">
        <v>89.8</v>
      </c>
      <c r="F16" s="7">
        <v>72</v>
      </c>
      <c r="G16" s="13">
        <v>82.1</v>
      </c>
      <c r="H16" s="148"/>
      <c r="I16" s="148"/>
      <c r="L16" s="122" t="s">
        <v>10</v>
      </c>
      <c r="M16" s="122" t="s">
        <v>9</v>
      </c>
      <c r="N16" s="129" t="s">
        <v>9</v>
      </c>
      <c r="O16" s="130" t="s">
        <v>9</v>
      </c>
      <c r="P16" s="129" t="s">
        <v>9</v>
      </c>
      <c r="Q16" s="130"/>
      <c r="R16" s="37">
        <v>85.9</v>
      </c>
      <c r="S16" s="37">
        <v>90.2</v>
      </c>
      <c r="T16" s="37">
        <v>71</v>
      </c>
      <c r="U16" s="37">
        <v>82.4</v>
      </c>
      <c r="V16" s="122">
        <v>98.6</v>
      </c>
      <c r="W16" s="122">
        <v>4</v>
      </c>
    </row>
    <row r="17" spans="1:23" x14ac:dyDescent="0.3">
      <c r="A17" s="148"/>
      <c r="B17" s="148"/>
      <c r="C17" s="148"/>
      <c r="D17" s="7">
        <v>84.3</v>
      </c>
      <c r="E17" s="7">
        <v>90</v>
      </c>
      <c r="F17" s="7">
        <v>72.2</v>
      </c>
      <c r="G17" s="13">
        <v>82.2</v>
      </c>
      <c r="H17" s="148"/>
      <c r="I17" s="148"/>
      <c r="L17" s="122"/>
      <c r="M17" s="122"/>
      <c r="N17" s="129"/>
      <c r="O17" s="130"/>
      <c r="P17" s="129"/>
      <c r="Q17" s="130"/>
      <c r="R17" s="37">
        <v>85.5</v>
      </c>
      <c r="S17" s="37">
        <v>90.5</v>
      </c>
      <c r="T17" s="37">
        <v>71.599999999999994</v>
      </c>
      <c r="U17" s="37">
        <v>82.6</v>
      </c>
      <c r="V17" s="122"/>
      <c r="W17" s="122"/>
    </row>
    <row r="18" spans="1:23" x14ac:dyDescent="0.3">
      <c r="A18" s="148"/>
      <c r="B18" s="148"/>
      <c r="C18" s="148"/>
      <c r="D18" s="7">
        <v>85.4</v>
      </c>
      <c r="E18" s="7">
        <v>90.7</v>
      </c>
      <c r="F18" s="7">
        <v>70.7</v>
      </c>
      <c r="G18" s="13">
        <v>82.3</v>
      </c>
      <c r="H18" s="148"/>
      <c r="I18" s="148"/>
      <c r="L18" s="22"/>
      <c r="M18" s="22"/>
      <c r="N18" s="23"/>
      <c r="O18" s="24"/>
      <c r="P18" s="25" t="s">
        <v>9</v>
      </c>
      <c r="Q18" s="24"/>
      <c r="R18" s="42" t="s">
        <v>14</v>
      </c>
      <c r="S18" s="42">
        <v>90</v>
      </c>
      <c r="T18" s="42">
        <v>73.099999999999994</v>
      </c>
      <c r="U18" s="42">
        <v>82.6</v>
      </c>
      <c r="V18" s="42">
        <v>98.38</v>
      </c>
      <c r="W18" s="42">
        <v>6</v>
      </c>
    </row>
    <row r="19" spans="1:23" x14ac:dyDescent="0.3">
      <c r="A19" s="148"/>
      <c r="B19" s="148"/>
      <c r="C19" s="148"/>
      <c r="D19" s="7">
        <v>85.5</v>
      </c>
      <c r="E19" s="7">
        <v>90</v>
      </c>
      <c r="F19" s="7">
        <v>72.5</v>
      </c>
      <c r="G19" s="13">
        <v>82.7</v>
      </c>
      <c r="H19" s="148"/>
      <c r="I19" s="148"/>
      <c r="L19" t="s">
        <v>51</v>
      </c>
      <c r="M19" t="s">
        <v>51</v>
      </c>
      <c r="N19" t="s">
        <v>51</v>
      </c>
      <c r="O19">
        <v>83.8</v>
      </c>
      <c r="P19">
        <v>88.9</v>
      </c>
      <c r="Q19">
        <v>67.3</v>
      </c>
      <c r="R19">
        <v>80</v>
      </c>
      <c r="T19" t="s">
        <v>54</v>
      </c>
    </row>
    <row r="20" spans="1:23" x14ac:dyDescent="0.3">
      <c r="A20" s="148"/>
      <c r="B20" s="148"/>
      <c r="C20" s="148"/>
      <c r="D20" s="7">
        <v>85.2</v>
      </c>
      <c r="E20" s="7">
        <v>90.8</v>
      </c>
      <c r="F20" s="7">
        <v>73</v>
      </c>
      <c r="G20" s="13">
        <v>83</v>
      </c>
      <c r="H20" s="148"/>
      <c r="I20" s="148"/>
      <c r="L20" t="s">
        <v>50</v>
      </c>
      <c r="M20" t="s">
        <v>51</v>
      </c>
      <c r="N20" t="s">
        <v>51</v>
      </c>
      <c r="O20">
        <v>82.7</v>
      </c>
      <c r="P20">
        <v>88.8</v>
      </c>
      <c r="Q20">
        <v>70.3</v>
      </c>
      <c r="R20">
        <v>80.599999999999994</v>
      </c>
      <c r="T20" t="s">
        <v>52</v>
      </c>
    </row>
    <row r="21" spans="1:23" x14ac:dyDescent="0.3">
      <c r="A21" s="148"/>
      <c r="B21" s="148"/>
      <c r="C21" s="148"/>
      <c r="D21" s="7">
        <v>85.6</v>
      </c>
      <c r="E21" s="7">
        <v>89.7</v>
      </c>
      <c r="F21" s="7">
        <v>73.7</v>
      </c>
      <c r="G21" s="13">
        <v>83</v>
      </c>
      <c r="H21" s="148"/>
      <c r="I21" s="148"/>
      <c r="L21" t="s">
        <v>51</v>
      </c>
      <c r="M21" t="s">
        <v>50</v>
      </c>
      <c r="N21" t="s">
        <v>51</v>
      </c>
      <c r="O21">
        <v>82</v>
      </c>
      <c r="P21">
        <v>87.1</v>
      </c>
      <c r="Q21">
        <v>66.599999999999994</v>
      </c>
      <c r="R21">
        <v>78.599999999999994</v>
      </c>
      <c r="T21" t="s">
        <v>56</v>
      </c>
    </row>
    <row r="22" spans="1:23" x14ac:dyDescent="0.3">
      <c r="A22" s="9" t="s">
        <v>9</v>
      </c>
      <c r="B22" s="9"/>
      <c r="C22" s="9" t="s">
        <v>9</v>
      </c>
      <c r="D22" s="9">
        <v>84.6</v>
      </c>
      <c r="E22" s="9">
        <v>90.6</v>
      </c>
      <c r="F22" s="9">
        <v>70</v>
      </c>
      <c r="G22" s="40">
        <v>81.7</v>
      </c>
      <c r="H22" s="9"/>
      <c r="I22" s="9">
        <v>7</v>
      </c>
      <c r="O22">
        <v>80.099999999999994</v>
      </c>
      <c r="P22">
        <v>88.2</v>
      </c>
      <c r="Q22">
        <v>64.900000000000006</v>
      </c>
      <c r="R22">
        <v>77.7</v>
      </c>
    </row>
    <row r="23" spans="1:23" x14ac:dyDescent="0.3">
      <c r="A23" s="10" t="s">
        <v>9</v>
      </c>
      <c r="B23" s="10" t="s">
        <v>9</v>
      </c>
      <c r="C23" s="10" t="s">
        <v>9</v>
      </c>
      <c r="D23" s="11">
        <v>85.8</v>
      </c>
      <c r="E23" s="12">
        <v>90.9</v>
      </c>
      <c r="F23" s="12">
        <v>71.900000000000006</v>
      </c>
      <c r="G23" s="41">
        <v>82.9</v>
      </c>
      <c r="H23" s="10">
        <v>98.6</v>
      </c>
      <c r="I23" s="12">
        <v>8</v>
      </c>
      <c r="O23">
        <v>82</v>
      </c>
      <c r="P23">
        <v>86.8</v>
      </c>
      <c r="Q23">
        <v>67.2</v>
      </c>
      <c r="R23">
        <v>78.7</v>
      </c>
      <c r="S23" s="1"/>
      <c r="T23" s="1"/>
    </row>
    <row r="24" spans="1:23" x14ac:dyDescent="0.3">
      <c r="D24" s="7">
        <v>85.8</v>
      </c>
      <c r="E24" s="7">
        <v>90.9</v>
      </c>
      <c r="F24" s="7">
        <v>71.900000000000006</v>
      </c>
      <c r="G24" s="13">
        <v>81.099999999999994</v>
      </c>
      <c r="L24" t="s">
        <v>51</v>
      </c>
      <c r="M24" t="s">
        <v>51</v>
      </c>
      <c r="N24" t="s">
        <v>50</v>
      </c>
      <c r="O24">
        <v>83.4</v>
      </c>
      <c r="P24">
        <v>90.1</v>
      </c>
      <c r="Q24">
        <v>69.8</v>
      </c>
      <c r="R24">
        <v>81.099999999999994</v>
      </c>
      <c r="T24" t="s">
        <v>58</v>
      </c>
    </row>
    <row r="25" spans="1:23" x14ac:dyDescent="0.3">
      <c r="A25" t="s">
        <v>95</v>
      </c>
      <c r="B25">
        <v>80.400000000000006</v>
      </c>
      <c r="C25">
        <v>87.2</v>
      </c>
      <c r="D25">
        <v>66.900000000000006</v>
      </c>
      <c r="E25">
        <v>78.2</v>
      </c>
      <c r="L25" s="79" t="s">
        <v>21</v>
      </c>
      <c r="M25" s="143" t="s">
        <v>15</v>
      </c>
      <c r="N25" s="80">
        <v>85.7</v>
      </c>
      <c r="O25" s="80">
        <v>89.9</v>
      </c>
      <c r="P25" s="80">
        <v>70.3</v>
      </c>
      <c r="Q25" s="80">
        <v>82</v>
      </c>
      <c r="R25" s="81"/>
    </row>
    <row r="26" spans="1:23" x14ac:dyDescent="0.3">
      <c r="A26" t="s">
        <v>96</v>
      </c>
      <c r="B26">
        <v>54</v>
      </c>
      <c r="C26">
        <v>72.7</v>
      </c>
      <c r="D26">
        <v>46.5</v>
      </c>
      <c r="E26">
        <v>57.8</v>
      </c>
      <c r="L26" s="145" t="s">
        <v>24</v>
      </c>
      <c r="M26" s="144"/>
      <c r="N26" s="82">
        <v>81.8</v>
      </c>
      <c r="O26" s="82">
        <v>88.6</v>
      </c>
      <c r="P26" s="82">
        <v>52.3</v>
      </c>
      <c r="Q26" s="82">
        <v>74.2</v>
      </c>
      <c r="R26" s="83" t="s">
        <v>18</v>
      </c>
    </row>
    <row r="27" spans="1:23" x14ac:dyDescent="0.3">
      <c r="A27" t="s">
        <v>57</v>
      </c>
      <c r="C27" t="s">
        <v>57</v>
      </c>
      <c r="D27">
        <v>85.8</v>
      </c>
      <c r="E27">
        <v>90.2</v>
      </c>
      <c r="F27">
        <v>71.099999999999994</v>
      </c>
      <c r="G27">
        <v>82.4</v>
      </c>
      <c r="L27" s="146"/>
      <c r="M27" s="84" t="s">
        <v>23</v>
      </c>
      <c r="N27" s="84">
        <v>81.5</v>
      </c>
      <c r="O27" s="84">
        <v>89</v>
      </c>
      <c r="P27" s="84">
        <v>57.3</v>
      </c>
      <c r="Q27" s="84">
        <v>75.900000000000006</v>
      </c>
      <c r="R27" s="85" t="s">
        <v>18</v>
      </c>
    </row>
    <row r="29" spans="1:23" x14ac:dyDescent="0.3">
      <c r="A29" t="s">
        <v>77</v>
      </c>
      <c r="D29">
        <v>84.1</v>
      </c>
      <c r="E29">
        <v>90.4</v>
      </c>
      <c r="F29">
        <v>73.3</v>
      </c>
      <c r="G29">
        <v>82.6</v>
      </c>
      <c r="L29" s="138"/>
      <c r="M29" s="138"/>
    </row>
    <row r="31" spans="1:23" x14ac:dyDescent="0.3">
      <c r="A31" t="s">
        <v>80</v>
      </c>
      <c r="B31">
        <v>85.1</v>
      </c>
      <c r="C31">
        <v>89.8</v>
      </c>
      <c r="D31">
        <v>74.900000000000006</v>
      </c>
      <c r="E31">
        <v>83.3</v>
      </c>
      <c r="G31" t="s">
        <v>81</v>
      </c>
      <c r="L31" t="s">
        <v>53</v>
      </c>
      <c r="M31" t="s">
        <v>50</v>
      </c>
      <c r="N31">
        <v>78.599999999999994</v>
      </c>
      <c r="O31">
        <v>88.4</v>
      </c>
      <c r="P31">
        <v>52.4</v>
      </c>
      <c r="Q31">
        <v>73.099999999999994</v>
      </c>
      <c r="S31" t="s">
        <v>55</v>
      </c>
    </row>
    <row r="32" spans="1:23" x14ac:dyDescent="0.3">
      <c r="U32" s="1"/>
      <c r="V32" s="1"/>
      <c r="W32" s="1"/>
    </row>
    <row r="33" spans="1:30" x14ac:dyDescent="0.3">
      <c r="S33" s="1"/>
      <c r="T33" s="1"/>
      <c r="U33" s="1"/>
      <c r="V33" s="1"/>
      <c r="W33" s="1"/>
      <c r="X33" s="1"/>
      <c r="Y33" s="1"/>
      <c r="Z33" s="1"/>
      <c r="AA33" s="1"/>
      <c r="AB33" s="1"/>
      <c r="AC33" s="1">
        <v>98.38</v>
      </c>
    </row>
    <row r="34" spans="1:30" ht="14.5" thickBot="1" x14ac:dyDescent="0.35">
      <c r="X34" s="1"/>
      <c r="Y34" s="1"/>
      <c r="Z34" s="1"/>
      <c r="AA34" s="1"/>
      <c r="AB34" s="1"/>
      <c r="AC34" s="1">
        <v>98.55</v>
      </c>
    </row>
    <row r="35" spans="1:30" ht="14.5" thickBot="1" x14ac:dyDescent="0.35">
      <c r="A35" s="59" t="s">
        <v>23</v>
      </c>
      <c r="B35" s="60" t="s">
        <v>45</v>
      </c>
      <c r="C35" s="60"/>
      <c r="D35" s="60"/>
      <c r="E35" s="60"/>
      <c r="F35" s="60"/>
      <c r="G35" s="60"/>
      <c r="H35" s="60"/>
      <c r="I35" s="60"/>
      <c r="J35" s="60"/>
      <c r="K35" s="61"/>
    </row>
    <row r="36" spans="1:30" x14ac:dyDescent="0.3">
      <c r="A36" s="141" t="s">
        <v>24</v>
      </c>
      <c r="B36" s="60" t="s">
        <v>1</v>
      </c>
      <c r="C36" s="60" t="s">
        <v>2</v>
      </c>
      <c r="D36" s="60" t="s">
        <v>3</v>
      </c>
      <c r="E36" s="60" t="s">
        <v>4</v>
      </c>
      <c r="F36" s="60"/>
      <c r="G36" s="60"/>
      <c r="H36" s="60"/>
      <c r="I36" s="60"/>
      <c r="J36" s="60"/>
      <c r="K36" s="61"/>
    </row>
    <row r="37" spans="1:30" x14ac:dyDescent="0.3">
      <c r="A37" s="147"/>
      <c r="B37" s="44">
        <v>85.6</v>
      </c>
      <c r="C37" s="44">
        <v>89.7</v>
      </c>
      <c r="D37" s="44">
        <v>73.7</v>
      </c>
      <c r="E37" s="44">
        <v>83</v>
      </c>
      <c r="F37" s="44"/>
      <c r="G37" s="44"/>
      <c r="H37" s="44"/>
      <c r="I37" s="44"/>
      <c r="J37" s="44"/>
      <c r="K37" s="62"/>
    </row>
    <row r="38" spans="1:30" x14ac:dyDescent="0.3">
      <c r="A38" s="147"/>
      <c r="B38" s="44">
        <v>81.5</v>
      </c>
      <c r="C38" s="44">
        <v>89</v>
      </c>
      <c r="D38" s="44">
        <v>57.3</v>
      </c>
      <c r="E38" s="44">
        <v>75.900000000000006</v>
      </c>
      <c r="F38" s="44" t="s">
        <v>46</v>
      </c>
      <c r="G38" s="44"/>
      <c r="H38" s="44"/>
      <c r="I38" s="44"/>
      <c r="J38" s="44"/>
      <c r="K38" s="62"/>
    </row>
    <row r="39" spans="1:30" ht="14.5" thickBot="1" x14ac:dyDescent="0.35">
      <c r="A39" s="142"/>
      <c r="B39" s="63">
        <v>78.5</v>
      </c>
      <c r="C39" s="63">
        <v>86.3</v>
      </c>
      <c r="D39" s="63">
        <v>65.3</v>
      </c>
      <c r="E39" s="63">
        <v>76.599999999999994</v>
      </c>
      <c r="F39" s="63" t="s">
        <v>47</v>
      </c>
      <c r="G39" s="63"/>
      <c r="H39" s="63"/>
      <c r="I39" s="63"/>
      <c r="J39" s="63"/>
      <c r="K39" s="64"/>
    </row>
    <row r="40" spans="1:30" x14ac:dyDescent="0.3">
      <c r="A40" s="141" t="s">
        <v>20</v>
      </c>
      <c r="B40" s="60" t="s">
        <v>25</v>
      </c>
      <c r="C40" s="60" t="s">
        <v>26</v>
      </c>
      <c r="D40" s="60"/>
      <c r="E40" s="60"/>
      <c r="F40" s="60"/>
      <c r="G40" s="60"/>
      <c r="H40" s="60"/>
      <c r="I40" s="60"/>
      <c r="J40" s="60"/>
      <c r="K40" s="61"/>
      <c r="N40" s="153" t="s">
        <v>22</v>
      </c>
      <c r="O40" s="154"/>
      <c r="P40" s="154" t="s">
        <v>16</v>
      </c>
      <c r="Q40" s="154"/>
      <c r="R40" s="154"/>
      <c r="S40" s="73">
        <v>84.8</v>
      </c>
      <c r="T40" s="73">
        <v>90.3</v>
      </c>
      <c r="U40" s="73">
        <v>73.8</v>
      </c>
      <c r="V40" s="74">
        <v>83</v>
      </c>
    </row>
    <row r="41" spans="1:30" ht="14.5" thickBot="1" x14ac:dyDescent="0.35">
      <c r="A41" s="142"/>
      <c r="B41" s="63">
        <v>97.6</v>
      </c>
      <c r="C41" s="63">
        <v>65.8</v>
      </c>
      <c r="D41" s="63"/>
      <c r="E41" s="63"/>
      <c r="F41" s="63"/>
      <c r="G41" s="63"/>
      <c r="H41" s="63"/>
      <c r="I41" s="63"/>
      <c r="J41" s="63"/>
      <c r="K41" s="64"/>
      <c r="N41" s="156" t="s">
        <v>24</v>
      </c>
      <c r="O41" s="155"/>
      <c r="P41" s="155" t="s">
        <v>17</v>
      </c>
      <c r="Q41" s="155"/>
      <c r="R41" s="155"/>
      <c r="S41" s="75">
        <v>85.5</v>
      </c>
      <c r="T41" s="75">
        <v>90</v>
      </c>
      <c r="U41" s="75">
        <v>69.8</v>
      </c>
      <c r="V41" s="76">
        <v>81.8</v>
      </c>
    </row>
    <row r="42" spans="1:30" x14ac:dyDescent="0.3">
      <c r="A42" s="141" t="s">
        <v>27</v>
      </c>
      <c r="B42" s="60" t="s">
        <v>38</v>
      </c>
      <c r="C42" s="60" t="s">
        <v>39</v>
      </c>
      <c r="D42" s="60" t="s">
        <v>40</v>
      </c>
      <c r="E42" s="60" t="s">
        <v>41</v>
      </c>
      <c r="F42" s="60" t="s">
        <v>42</v>
      </c>
      <c r="G42" s="60" t="s">
        <v>43</v>
      </c>
      <c r="H42" s="60" t="s">
        <v>44</v>
      </c>
      <c r="I42" s="60"/>
      <c r="J42" s="60"/>
      <c r="K42" s="61"/>
      <c r="N42" s="157"/>
      <c r="O42" s="158"/>
      <c r="P42" s="158" t="s">
        <v>19</v>
      </c>
      <c r="Q42" s="158"/>
      <c r="R42" s="158"/>
      <c r="S42" s="77">
        <v>78.5</v>
      </c>
      <c r="T42" s="77">
        <v>86.3</v>
      </c>
      <c r="U42" s="77">
        <v>65.3</v>
      </c>
      <c r="V42" s="78">
        <v>76.599999999999994</v>
      </c>
      <c r="W42" s="1"/>
      <c r="X42" s="1"/>
    </row>
    <row r="43" spans="1:30" ht="14.5" thickBot="1" x14ac:dyDescent="0.35">
      <c r="A43" s="142"/>
      <c r="B43" s="63">
        <v>86.1</v>
      </c>
      <c r="C43" s="63">
        <v>93.9</v>
      </c>
      <c r="D43" s="63">
        <v>93.7</v>
      </c>
      <c r="E43" s="63">
        <v>90.4</v>
      </c>
      <c r="F43" s="63">
        <v>82.3</v>
      </c>
      <c r="G43" s="63">
        <v>90.4</v>
      </c>
      <c r="H43" s="63">
        <v>89.5</v>
      </c>
      <c r="I43" s="63"/>
      <c r="J43" s="63"/>
      <c r="K43" s="64"/>
      <c r="W43" s="1"/>
      <c r="X43" s="1"/>
    </row>
    <row r="44" spans="1:30" x14ac:dyDescent="0.3">
      <c r="A44" s="65" t="s">
        <v>28</v>
      </c>
      <c r="B44" s="66" t="s">
        <v>2</v>
      </c>
      <c r="C44" s="66" t="s">
        <v>31</v>
      </c>
      <c r="D44" s="66" t="s">
        <v>32</v>
      </c>
      <c r="E44" s="66" t="s">
        <v>33</v>
      </c>
      <c r="F44" s="66" t="s">
        <v>34</v>
      </c>
      <c r="G44" s="66" t="s">
        <v>35</v>
      </c>
      <c r="H44" s="66" t="s">
        <v>36</v>
      </c>
      <c r="I44" s="66" t="s">
        <v>37</v>
      </c>
      <c r="J44" s="66" t="s">
        <v>49</v>
      </c>
      <c r="K44" s="67" t="s">
        <v>4</v>
      </c>
      <c r="W44" s="1"/>
      <c r="X44" s="1"/>
      <c r="Y44" s="1"/>
      <c r="Z44" s="1"/>
      <c r="AA44" s="1"/>
      <c r="AB44" s="1"/>
      <c r="AC44" s="1"/>
      <c r="AD44" s="1">
        <v>98.6</v>
      </c>
    </row>
    <row r="45" spans="1:30" ht="14.5" thickBot="1" x14ac:dyDescent="0.35">
      <c r="A45" s="68">
        <v>1</v>
      </c>
      <c r="B45" s="69">
        <v>91.2</v>
      </c>
      <c r="C45" s="69">
        <v>92.3</v>
      </c>
      <c r="D45" s="69">
        <v>87.9</v>
      </c>
      <c r="E45" s="69">
        <v>80.400000000000006</v>
      </c>
      <c r="F45" s="69">
        <v>86.3</v>
      </c>
      <c r="G45" s="69">
        <v>57</v>
      </c>
      <c r="H45" s="69">
        <v>85.3</v>
      </c>
      <c r="I45" s="69">
        <v>99.5</v>
      </c>
      <c r="J45" s="69"/>
      <c r="K45" s="70">
        <v>85</v>
      </c>
      <c r="L45" s="44">
        <v>51.7</v>
      </c>
      <c r="W45" s="1"/>
      <c r="X45" s="1"/>
      <c r="Y45" s="1"/>
      <c r="Z45" s="1"/>
      <c r="AA45" s="1"/>
      <c r="AB45" s="1"/>
      <c r="AC45" s="1"/>
      <c r="AD45" s="1"/>
    </row>
    <row r="46" spans="1:30" ht="14.5" thickBot="1" x14ac:dyDescent="0.35">
      <c r="A46" s="68">
        <v>2</v>
      </c>
      <c r="B46" s="69">
        <v>89.9</v>
      </c>
      <c r="C46" s="69">
        <v>63.2</v>
      </c>
      <c r="D46" s="69">
        <v>87.5</v>
      </c>
      <c r="E46" s="69">
        <v>75.3</v>
      </c>
      <c r="F46" s="69">
        <v>78.5</v>
      </c>
      <c r="G46" s="69">
        <v>72.5</v>
      </c>
      <c r="H46" s="69">
        <v>65</v>
      </c>
      <c r="I46" s="69">
        <v>99.5</v>
      </c>
      <c r="J46" s="69" t="s">
        <v>11</v>
      </c>
      <c r="K46" s="69">
        <v>78.900000000000006</v>
      </c>
      <c r="L46" s="44">
        <v>47.4</v>
      </c>
      <c r="N46" s="151" t="s">
        <v>48</v>
      </c>
      <c r="O46" s="152"/>
      <c r="P46" s="152"/>
      <c r="Q46" s="88"/>
      <c r="R46" s="88"/>
      <c r="S46" s="88"/>
      <c r="T46" s="88"/>
      <c r="U46" s="88"/>
      <c r="V46" s="88"/>
      <c r="W46" s="89"/>
      <c r="Y46" s="1"/>
      <c r="Z46" s="1"/>
      <c r="AA46" s="1"/>
      <c r="AB46" s="1"/>
      <c r="AC46" s="1"/>
      <c r="AD46" s="1"/>
    </row>
    <row r="47" spans="1:30" x14ac:dyDescent="0.3">
      <c r="A47" s="68">
        <v>3</v>
      </c>
      <c r="B47" s="69">
        <v>91</v>
      </c>
      <c r="C47" s="69">
        <v>75.900000000000006</v>
      </c>
      <c r="D47" s="69">
        <v>86</v>
      </c>
      <c r="E47" s="69">
        <v>85.7</v>
      </c>
      <c r="F47" s="69">
        <v>82</v>
      </c>
      <c r="G47" s="69">
        <v>51.7</v>
      </c>
      <c r="H47" s="69">
        <v>84.6</v>
      </c>
      <c r="I47" s="69">
        <v>96.3</v>
      </c>
      <c r="J47" s="69"/>
      <c r="K47" s="70">
        <v>81.599999999999994</v>
      </c>
      <c r="L47" s="44">
        <v>48.7</v>
      </c>
      <c r="N47" s="149" t="s">
        <v>24</v>
      </c>
      <c r="O47" s="88" t="s">
        <v>1</v>
      </c>
      <c r="P47" s="88" t="s">
        <v>2</v>
      </c>
      <c r="Q47" s="88" t="s">
        <v>3</v>
      </c>
      <c r="R47" s="88" t="s">
        <v>4</v>
      </c>
      <c r="S47" s="88"/>
      <c r="T47" s="88"/>
      <c r="U47" s="88"/>
      <c r="V47" s="88"/>
      <c r="W47" s="89"/>
    </row>
    <row r="48" spans="1:30" ht="14.5" thickBot="1" x14ac:dyDescent="0.35">
      <c r="A48" s="68">
        <v>4</v>
      </c>
      <c r="B48" s="69">
        <v>92.9</v>
      </c>
      <c r="C48" s="69">
        <v>68.8</v>
      </c>
      <c r="D48" s="69">
        <v>83.4</v>
      </c>
      <c r="E48" s="69">
        <v>81.400000000000006</v>
      </c>
      <c r="F48" s="69">
        <v>73.900000000000006</v>
      </c>
      <c r="G48" s="69">
        <v>60.6</v>
      </c>
      <c r="H48" s="69">
        <v>70.099999999999994</v>
      </c>
      <c r="I48" s="69">
        <v>97.2</v>
      </c>
      <c r="J48" s="69"/>
      <c r="K48" s="70">
        <v>78.5</v>
      </c>
      <c r="L48" s="44">
        <v>45.5</v>
      </c>
      <c r="N48" s="150"/>
      <c r="O48" s="90">
        <v>84.9</v>
      </c>
      <c r="P48" s="90">
        <v>90.3</v>
      </c>
      <c r="Q48" s="90">
        <v>75.2</v>
      </c>
      <c r="R48" s="90">
        <v>83.5</v>
      </c>
      <c r="S48" s="90"/>
      <c r="T48" s="90"/>
      <c r="U48" s="90"/>
      <c r="V48" s="90"/>
      <c r="W48" s="91"/>
    </row>
    <row r="49" spans="1:23" x14ac:dyDescent="0.3">
      <c r="A49" s="68">
        <v>5</v>
      </c>
      <c r="B49" s="69">
        <v>87</v>
      </c>
      <c r="C49" s="69">
        <v>75.099999999999994</v>
      </c>
      <c r="D49" s="69">
        <v>80.7</v>
      </c>
      <c r="E49" s="69">
        <v>79.2</v>
      </c>
      <c r="F49" s="69">
        <v>79.099999999999994</v>
      </c>
      <c r="G49" s="69">
        <v>50.9</v>
      </c>
      <c r="H49" s="69">
        <v>79.400000000000006</v>
      </c>
      <c r="I49" s="69">
        <v>99.5</v>
      </c>
      <c r="J49" s="69"/>
      <c r="K49" s="70">
        <v>78.900000000000006</v>
      </c>
      <c r="L49" s="44">
        <v>48.4</v>
      </c>
      <c r="N49" s="149" t="s">
        <v>20</v>
      </c>
      <c r="O49" s="88" t="s">
        <v>25</v>
      </c>
      <c r="P49" s="88" t="s">
        <v>26</v>
      </c>
      <c r="Q49" s="88"/>
      <c r="R49" s="88"/>
      <c r="S49" s="88"/>
      <c r="T49" s="88"/>
      <c r="U49" s="88"/>
      <c r="V49" s="88"/>
      <c r="W49" s="89"/>
    </row>
    <row r="50" spans="1:23" ht="14.5" thickBot="1" x14ac:dyDescent="0.35">
      <c r="A50" s="68">
        <v>6</v>
      </c>
      <c r="B50" s="69">
        <v>92.4</v>
      </c>
      <c r="C50" s="69">
        <v>69.099999999999994</v>
      </c>
      <c r="D50" s="69">
        <v>83.5</v>
      </c>
      <c r="E50" s="69">
        <v>78.5</v>
      </c>
      <c r="F50" s="69">
        <v>77.599999999999994</v>
      </c>
      <c r="G50" s="69">
        <v>62.1</v>
      </c>
      <c r="H50" s="69">
        <v>93.9</v>
      </c>
      <c r="I50" s="69">
        <v>99.5</v>
      </c>
      <c r="J50" s="69"/>
      <c r="K50" s="70">
        <v>82.1</v>
      </c>
      <c r="L50" s="44">
        <v>50.4</v>
      </c>
      <c r="N50" s="150"/>
      <c r="O50" s="92">
        <v>97.39</v>
      </c>
      <c r="P50" s="92">
        <v>63.7</v>
      </c>
      <c r="Q50" s="92"/>
      <c r="R50" s="92"/>
      <c r="S50" s="92"/>
      <c r="T50" s="92"/>
      <c r="U50" s="92"/>
      <c r="V50" s="92"/>
      <c r="W50" s="93"/>
    </row>
    <row r="51" spans="1:23" x14ac:dyDescent="0.3">
      <c r="A51" s="68">
        <v>7</v>
      </c>
      <c r="B51" s="69">
        <v>86.9</v>
      </c>
      <c r="C51" s="69">
        <v>63.4</v>
      </c>
      <c r="D51" s="69">
        <v>83.3</v>
      </c>
      <c r="E51" s="69">
        <v>76.3</v>
      </c>
      <c r="F51" s="69">
        <v>51.2</v>
      </c>
      <c r="G51" s="69">
        <v>61.5</v>
      </c>
      <c r="H51" s="69">
        <v>80.400000000000006</v>
      </c>
      <c r="I51" s="69">
        <v>99.5</v>
      </c>
      <c r="J51" s="69"/>
      <c r="K51" s="70">
        <v>75.3</v>
      </c>
      <c r="L51" s="44">
        <v>41.5</v>
      </c>
      <c r="N51" s="149" t="s">
        <v>27</v>
      </c>
      <c r="O51" s="88" t="s">
        <v>38</v>
      </c>
      <c r="P51" s="88" t="s">
        <v>39</v>
      </c>
      <c r="Q51" s="88" t="s">
        <v>40</v>
      </c>
      <c r="R51" s="88" t="s">
        <v>41</v>
      </c>
      <c r="S51" s="88" t="s">
        <v>42</v>
      </c>
      <c r="T51" s="88" t="s">
        <v>43</v>
      </c>
      <c r="U51" s="88" t="s">
        <v>44</v>
      </c>
      <c r="V51" s="88"/>
      <c r="W51" s="89"/>
    </row>
    <row r="52" spans="1:23" ht="14.5" thickBot="1" x14ac:dyDescent="0.35">
      <c r="A52" s="68">
        <v>8</v>
      </c>
      <c r="B52" s="69">
        <v>91.9</v>
      </c>
      <c r="C52" s="69">
        <v>84.2</v>
      </c>
      <c r="D52" s="69">
        <v>84.1</v>
      </c>
      <c r="E52" s="69">
        <v>89.6</v>
      </c>
      <c r="F52" s="69">
        <v>77.900000000000006</v>
      </c>
      <c r="G52" s="69">
        <v>53.9</v>
      </c>
      <c r="H52" s="69">
        <v>70.2</v>
      </c>
      <c r="I52" s="69">
        <v>99.5</v>
      </c>
      <c r="J52" s="69"/>
      <c r="K52" s="70">
        <v>81.400000000000006</v>
      </c>
      <c r="L52" s="44">
        <v>45.1</v>
      </c>
      <c r="N52" s="150"/>
      <c r="O52" s="92"/>
      <c r="P52" s="92"/>
      <c r="Q52" s="92"/>
      <c r="R52" s="92"/>
      <c r="S52" s="92"/>
      <c r="T52" s="92"/>
      <c r="U52" s="92"/>
      <c r="V52" s="92"/>
      <c r="W52" s="93"/>
    </row>
    <row r="53" spans="1:23" ht="14.5" thickBot="1" x14ac:dyDescent="0.35">
      <c r="A53" s="107">
        <v>9</v>
      </c>
      <c r="B53" s="108">
        <v>84.9</v>
      </c>
      <c r="C53" s="108">
        <v>82.6</v>
      </c>
      <c r="D53" s="108">
        <v>82</v>
      </c>
      <c r="E53" s="108">
        <v>83.9</v>
      </c>
      <c r="F53" s="108">
        <v>78.5</v>
      </c>
      <c r="G53" s="108">
        <v>67.3</v>
      </c>
      <c r="H53" s="108">
        <v>70.5</v>
      </c>
      <c r="I53" s="108">
        <v>99.5</v>
      </c>
      <c r="J53" s="108"/>
      <c r="K53" s="109">
        <v>81.099999999999994</v>
      </c>
      <c r="L53" s="44">
        <v>48.7</v>
      </c>
      <c r="N53" s="94" t="s">
        <v>28</v>
      </c>
      <c r="O53" s="95" t="s">
        <v>2</v>
      </c>
      <c r="P53" s="95" t="s">
        <v>31</v>
      </c>
      <c r="Q53" s="95" t="s">
        <v>32</v>
      </c>
      <c r="R53" s="95" t="s">
        <v>33</v>
      </c>
      <c r="S53" s="95" t="s">
        <v>34</v>
      </c>
      <c r="T53" s="95" t="s">
        <v>35</v>
      </c>
      <c r="U53" s="95" t="s">
        <v>36</v>
      </c>
      <c r="V53" s="95" t="s">
        <v>37</v>
      </c>
      <c r="W53" s="96" t="s">
        <v>4</v>
      </c>
    </row>
    <row r="54" spans="1:23" ht="14.5" thickBot="1" x14ac:dyDescent="0.35">
      <c r="A54" s="110">
        <v>10</v>
      </c>
      <c r="B54" s="111">
        <v>86.6</v>
      </c>
      <c r="C54" s="111">
        <v>81.099999999999994</v>
      </c>
      <c r="D54" s="111">
        <v>83.6</v>
      </c>
      <c r="E54" s="111">
        <v>85.8</v>
      </c>
      <c r="F54" s="111">
        <v>73.599999999999994</v>
      </c>
      <c r="G54" s="111">
        <v>80.2</v>
      </c>
      <c r="H54" s="111">
        <v>64.400000000000006</v>
      </c>
      <c r="I54" s="111">
        <v>79.5</v>
      </c>
      <c r="J54" s="111" t="s">
        <v>11</v>
      </c>
      <c r="K54" s="105">
        <v>79.3</v>
      </c>
      <c r="L54" s="44">
        <v>45.1</v>
      </c>
      <c r="N54" s="97">
        <v>1</v>
      </c>
      <c r="O54" s="98"/>
      <c r="P54" s="98"/>
      <c r="Q54" s="98"/>
      <c r="R54" s="98"/>
      <c r="S54" s="98"/>
      <c r="T54" s="98"/>
      <c r="U54" s="98"/>
      <c r="V54" s="98"/>
      <c r="W54" s="99"/>
    </row>
    <row r="55" spans="1:23" ht="14.5" thickBot="1" x14ac:dyDescent="0.35">
      <c r="A55" s="106" t="s">
        <v>30</v>
      </c>
      <c r="B55" s="64">
        <f t="shared" ref="B55:I55" si="0">AVERAGE(B45:B54)</f>
        <v>89.47</v>
      </c>
      <c r="C55" s="64">
        <f t="shared" si="0"/>
        <v>75.570000000000007</v>
      </c>
      <c r="D55" s="64">
        <f t="shared" si="0"/>
        <v>84.2</v>
      </c>
      <c r="E55" s="64">
        <f t="shared" si="0"/>
        <v>81.609999999999985</v>
      </c>
      <c r="F55" s="64">
        <f t="shared" si="0"/>
        <v>75.860000000000014</v>
      </c>
      <c r="G55" s="64">
        <f t="shared" si="0"/>
        <v>61.77</v>
      </c>
      <c r="H55" s="64">
        <f t="shared" si="0"/>
        <v>76.38</v>
      </c>
      <c r="I55" s="64">
        <f t="shared" si="0"/>
        <v>96.95</v>
      </c>
      <c r="J55" s="64" t="s">
        <v>11</v>
      </c>
      <c r="K55" s="64">
        <f>AVERAGE(K45:K54)</f>
        <v>80.209999999999994</v>
      </c>
      <c r="L55" s="64">
        <f>AVERAGE(L45:L54)</f>
        <v>47.250000000000007</v>
      </c>
      <c r="N55" s="97">
        <v>2</v>
      </c>
      <c r="O55" s="98"/>
      <c r="P55" s="98"/>
      <c r="Q55" s="98"/>
      <c r="R55" s="98"/>
      <c r="S55" s="98"/>
      <c r="T55" s="98"/>
      <c r="U55" s="98"/>
      <c r="V55" s="98"/>
      <c r="W55" s="99"/>
    </row>
    <row r="56" spans="1:23" x14ac:dyDescent="0.3">
      <c r="A56" s="71"/>
      <c r="B56" s="72"/>
      <c r="C56" s="72"/>
      <c r="D56" s="72"/>
      <c r="E56" s="72"/>
      <c r="F56" s="72"/>
      <c r="G56" s="72"/>
      <c r="H56" s="72"/>
      <c r="I56" s="72"/>
      <c r="J56" s="72"/>
      <c r="N56" s="97">
        <v>3</v>
      </c>
      <c r="O56" s="98"/>
      <c r="P56" s="98"/>
      <c r="Q56" s="98"/>
      <c r="R56" s="98"/>
      <c r="S56" s="98"/>
      <c r="T56" s="98"/>
      <c r="U56" s="98"/>
      <c r="V56" s="98"/>
      <c r="W56" s="99"/>
    </row>
    <row r="57" spans="1:23" x14ac:dyDescent="0.3">
      <c r="N57" s="97">
        <v>4</v>
      </c>
      <c r="O57" s="98"/>
      <c r="P57" s="98"/>
      <c r="Q57" s="98"/>
      <c r="R57" s="98"/>
      <c r="S57" s="98"/>
      <c r="T57" s="98"/>
      <c r="U57" s="98"/>
      <c r="V57" s="98"/>
      <c r="W57" s="99"/>
    </row>
    <row r="58" spans="1:23" x14ac:dyDescent="0.3">
      <c r="N58" s="97">
        <v>5</v>
      </c>
      <c r="O58" s="98"/>
      <c r="P58" s="98"/>
      <c r="Q58" s="98"/>
      <c r="R58" s="98"/>
      <c r="S58" s="98"/>
      <c r="T58" s="98"/>
      <c r="U58" s="98"/>
      <c r="V58" s="98"/>
      <c r="W58" s="99"/>
    </row>
    <row r="59" spans="1:23" x14ac:dyDescent="0.3">
      <c r="N59" s="97">
        <v>6</v>
      </c>
      <c r="O59" s="98"/>
      <c r="P59" s="98"/>
      <c r="Q59" s="98"/>
      <c r="R59" s="98"/>
      <c r="S59" s="98"/>
      <c r="T59" s="98"/>
      <c r="U59" s="98"/>
      <c r="V59" s="98"/>
      <c r="W59" s="99"/>
    </row>
    <row r="60" spans="1:23" x14ac:dyDescent="0.3">
      <c r="N60" s="97">
        <v>7</v>
      </c>
      <c r="O60" s="98"/>
      <c r="P60" s="98"/>
      <c r="Q60" s="98"/>
      <c r="R60" s="98"/>
      <c r="S60" s="98"/>
      <c r="T60" s="98"/>
      <c r="U60" s="98"/>
      <c r="V60" s="98"/>
      <c r="W60" s="99"/>
    </row>
    <row r="61" spans="1:23" x14ac:dyDescent="0.3">
      <c r="N61" s="97">
        <v>8</v>
      </c>
      <c r="O61" s="98"/>
      <c r="P61" s="98"/>
      <c r="Q61" s="98"/>
      <c r="R61" s="98"/>
      <c r="S61" s="98"/>
      <c r="T61" s="98"/>
      <c r="U61" s="98"/>
      <c r="V61" s="98"/>
      <c r="W61" s="99"/>
    </row>
    <row r="62" spans="1:23" ht="14.5" thickBot="1" x14ac:dyDescent="0.35">
      <c r="N62" s="100">
        <v>9</v>
      </c>
      <c r="O62" s="101"/>
      <c r="P62" s="101"/>
      <c r="Q62" s="101"/>
      <c r="R62" s="101"/>
      <c r="S62" s="101"/>
      <c r="T62" s="101"/>
      <c r="U62" s="101"/>
      <c r="V62" s="101"/>
      <c r="W62" s="102"/>
    </row>
    <row r="63" spans="1:23" ht="14.5" thickBot="1" x14ac:dyDescent="0.35">
      <c r="N63" s="103" t="s">
        <v>29</v>
      </c>
      <c r="O63" s="90"/>
      <c r="P63" s="90"/>
      <c r="Q63" s="90"/>
      <c r="R63" s="90"/>
      <c r="S63" s="90"/>
      <c r="T63" s="90"/>
      <c r="U63" s="90"/>
      <c r="V63" s="90"/>
      <c r="W63" s="91"/>
    </row>
    <row r="64" spans="1:23" ht="14.5" thickBot="1" x14ac:dyDescent="0.35">
      <c r="N64" s="86" t="s">
        <v>30</v>
      </c>
      <c r="O64" s="87"/>
      <c r="P64" s="87"/>
      <c r="Q64" s="87"/>
      <c r="R64" s="87"/>
      <c r="S64" s="87"/>
      <c r="T64" s="87"/>
      <c r="U64" s="87"/>
      <c r="V64" s="87"/>
      <c r="W64" s="104"/>
    </row>
    <row r="68" spans="1:12" x14ac:dyDescent="0.3">
      <c r="A68" t="s">
        <v>78</v>
      </c>
    </row>
    <row r="70" spans="1:12" x14ac:dyDescent="0.3">
      <c r="A70">
        <v>746</v>
      </c>
      <c r="B70">
        <v>382</v>
      </c>
      <c r="C70">
        <v>860</v>
      </c>
      <c r="D70">
        <v>765</v>
      </c>
      <c r="E70">
        <v>769</v>
      </c>
      <c r="F70">
        <v>689</v>
      </c>
      <c r="G70">
        <v>764</v>
      </c>
      <c r="H70">
        <v>404</v>
      </c>
      <c r="I70">
        <v>719</v>
      </c>
      <c r="J70">
        <v>995</v>
      </c>
      <c r="K70">
        <v>369</v>
      </c>
      <c r="L70">
        <f t="shared" ref="L70:L79" si="1">AVERAGE(C70:J70)</f>
        <v>745.625</v>
      </c>
    </row>
    <row r="71" spans="1:12" x14ac:dyDescent="0.3">
      <c r="A71">
        <v>754</v>
      </c>
      <c r="B71">
        <v>464</v>
      </c>
      <c r="C71">
        <v>867</v>
      </c>
      <c r="D71">
        <v>670</v>
      </c>
      <c r="E71">
        <v>845</v>
      </c>
      <c r="F71">
        <v>602</v>
      </c>
      <c r="G71">
        <v>794</v>
      </c>
      <c r="H71">
        <v>653</v>
      </c>
      <c r="I71">
        <v>607</v>
      </c>
      <c r="J71">
        <v>995</v>
      </c>
      <c r="K71">
        <v>556</v>
      </c>
      <c r="L71">
        <f>AVERAGE(C71:J71)</f>
        <v>754.125</v>
      </c>
    </row>
    <row r="72" spans="1:12" x14ac:dyDescent="0.3">
      <c r="A72">
        <v>746</v>
      </c>
      <c r="B72">
        <v>429</v>
      </c>
      <c r="C72">
        <v>884</v>
      </c>
      <c r="D72">
        <v>582</v>
      </c>
      <c r="E72">
        <v>822</v>
      </c>
      <c r="F72">
        <v>839</v>
      </c>
      <c r="G72">
        <v>791</v>
      </c>
      <c r="H72">
        <v>423</v>
      </c>
      <c r="I72">
        <v>695</v>
      </c>
      <c r="J72">
        <v>935</v>
      </c>
      <c r="K72">
        <v>489</v>
      </c>
      <c r="L72">
        <f t="shared" si="1"/>
        <v>746.375</v>
      </c>
    </row>
    <row r="73" spans="1:12" x14ac:dyDescent="0.3">
      <c r="A73">
        <v>741</v>
      </c>
      <c r="B73">
        <v>416</v>
      </c>
      <c r="C73">
        <v>852</v>
      </c>
      <c r="D73">
        <v>490</v>
      </c>
      <c r="E73">
        <v>730</v>
      </c>
      <c r="F73">
        <v>820</v>
      </c>
      <c r="G73">
        <v>655</v>
      </c>
      <c r="H73">
        <v>572</v>
      </c>
      <c r="I73">
        <v>837</v>
      </c>
      <c r="J73">
        <v>975</v>
      </c>
      <c r="K73">
        <v>424</v>
      </c>
      <c r="L73">
        <f t="shared" si="1"/>
        <v>741.375</v>
      </c>
    </row>
    <row r="74" spans="1:12" x14ac:dyDescent="0.3">
      <c r="A74">
        <v>744</v>
      </c>
      <c r="B74">
        <v>400</v>
      </c>
      <c r="C74">
        <v>851</v>
      </c>
      <c r="D74">
        <v>602</v>
      </c>
      <c r="E74">
        <v>799</v>
      </c>
      <c r="F74">
        <v>635</v>
      </c>
      <c r="G74">
        <v>820</v>
      </c>
      <c r="H74">
        <v>545</v>
      </c>
      <c r="I74">
        <v>707</v>
      </c>
      <c r="J74">
        <v>995</v>
      </c>
      <c r="K74">
        <v>361</v>
      </c>
      <c r="L74">
        <f t="shared" si="1"/>
        <v>744.25</v>
      </c>
    </row>
    <row r="75" spans="1:12" x14ac:dyDescent="0.3">
      <c r="A75">
        <v>760</v>
      </c>
      <c r="B75">
        <v>453</v>
      </c>
      <c r="C75">
        <v>898</v>
      </c>
      <c r="D75">
        <v>687</v>
      </c>
      <c r="E75">
        <v>795</v>
      </c>
      <c r="F75">
        <v>790</v>
      </c>
      <c r="G75">
        <v>818</v>
      </c>
      <c r="H75">
        <v>513</v>
      </c>
      <c r="I75">
        <v>584</v>
      </c>
      <c r="J75">
        <v>995</v>
      </c>
      <c r="K75">
        <v>457</v>
      </c>
      <c r="L75">
        <f t="shared" si="1"/>
        <v>760</v>
      </c>
    </row>
    <row r="76" spans="1:12" x14ac:dyDescent="0.3">
      <c r="A76">
        <v>735</v>
      </c>
      <c r="B76">
        <v>425</v>
      </c>
      <c r="C76">
        <v>868</v>
      </c>
      <c r="D76">
        <v>616</v>
      </c>
      <c r="E76">
        <v>793</v>
      </c>
      <c r="F76">
        <v>665</v>
      </c>
      <c r="G76">
        <v>592</v>
      </c>
      <c r="H76">
        <v>667</v>
      </c>
      <c r="I76">
        <v>684</v>
      </c>
      <c r="J76">
        <v>995</v>
      </c>
      <c r="K76">
        <v>494</v>
      </c>
      <c r="L76">
        <f t="shared" si="1"/>
        <v>735</v>
      </c>
    </row>
    <row r="77" spans="1:12" x14ac:dyDescent="0.3">
      <c r="A77">
        <v>840</v>
      </c>
      <c r="B77">
        <v>452</v>
      </c>
      <c r="C77">
        <v>902</v>
      </c>
      <c r="D77">
        <v>860</v>
      </c>
      <c r="E77">
        <v>823</v>
      </c>
      <c r="F77">
        <v>904</v>
      </c>
      <c r="G77">
        <v>871</v>
      </c>
      <c r="H77">
        <v>583</v>
      </c>
      <c r="I77">
        <v>782</v>
      </c>
      <c r="J77">
        <v>995</v>
      </c>
      <c r="K77">
        <v>442</v>
      </c>
      <c r="L77">
        <f t="shared" si="1"/>
        <v>840</v>
      </c>
    </row>
    <row r="78" spans="1:12" x14ac:dyDescent="0.3">
      <c r="A78">
        <v>793</v>
      </c>
      <c r="B78">
        <v>446</v>
      </c>
      <c r="C78">
        <v>920</v>
      </c>
      <c r="D78">
        <v>751</v>
      </c>
      <c r="E78">
        <v>851</v>
      </c>
      <c r="F78">
        <v>808</v>
      </c>
      <c r="G78">
        <v>869</v>
      </c>
      <c r="H78">
        <v>749</v>
      </c>
      <c r="I78">
        <v>605</v>
      </c>
      <c r="J78">
        <v>795</v>
      </c>
      <c r="K78">
        <v>419</v>
      </c>
      <c r="L78">
        <f t="shared" si="1"/>
        <v>793.5</v>
      </c>
    </row>
    <row r="79" spans="1:12" x14ac:dyDescent="0.3">
      <c r="A79">
        <v>803</v>
      </c>
      <c r="B79">
        <v>458</v>
      </c>
      <c r="C79">
        <v>893</v>
      </c>
      <c r="D79">
        <v>731</v>
      </c>
      <c r="E79">
        <v>864</v>
      </c>
      <c r="F79">
        <v>733</v>
      </c>
      <c r="G79">
        <v>859</v>
      </c>
      <c r="H79">
        <v>585</v>
      </c>
      <c r="I79">
        <v>764</v>
      </c>
      <c r="J79">
        <v>995</v>
      </c>
      <c r="K79">
        <v>473</v>
      </c>
      <c r="L79">
        <f t="shared" si="1"/>
        <v>803</v>
      </c>
    </row>
    <row r="80" spans="1:12" x14ac:dyDescent="0.3">
      <c r="A80">
        <f>SUM(A70:A79)</f>
        <v>7662</v>
      </c>
      <c r="B80">
        <f t="shared" ref="B80:K80" si="2">SUM(B70:B79)</f>
        <v>4325</v>
      </c>
      <c r="C80">
        <f t="shared" si="2"/>
        <v>8795</v>
      </c>
      <c r="D80">
        <f t="shared" si="2"/>
        <v>6754</v>
      </c>
      <c r="E80">
        <f t="shared" si="2"/>
        <v>8091</v>
      </c>
      <c r="F80">
        <f t="shared" si="2"/>
        <v>7485</v>
      </c>
      <c r="G80">
        <f t="shared" si="2"/>
        <v>7833</v>
      </c>
      <c r="H80">
        <f t="shared" si="2"/>
        <v>5694</v>
      </c>
      <c r="I80">
        <f t="shared" si="2"/>
        <v>6984</v>
      </c>
      <c r="J80">
        <f t="shared" si="2"/>
        <v>9670</v>
      </c>
      <c r="K80">
        <f t="shared" si="2"/>
        <v>4484</v>
      </c>
      <c r="L80">
        <f>AVERAGE(C80:J80)</f>
        <v>7663.25</v>
      </c>
    </row>
    <row r="87" spans="1:5" x14ac:dyDescent="0.3">
      <c r="B87" t="s">
        <v>1</v>
      </c>
      <c r="C87" t="s">
        <v>2</v>
      </c>
      <c r="D87" t="s">
        <v>3</v>
      </c>
      <c r="E87" t="s">
        <v>4</v>
      </c>
    </row>
    <row r="88" spans="1:5" x14ac:dyDescent="0.3">
      <c r="A88" t="s">
        <v>79</v>
      </c>
      <c r="B88">
        <v>83.3</v>
      </c>
      <c r="C88">
        <v>90.1</v>
      </c>
      <c r="D88">
        <v>59.1</v>
      </c>
      <c r="E88">
        <v>77.5</v>
      </c>
    </row>
  </sheetData>
  <mergeCells count="67">
    <mergeCell ref="N49:N50"/>
    <mergeCell ref="N51:N52"/>
    <mergeCell ref="N46:P46"/>
    <mergeCell ref="N47:N48"/>
    <mergeCell ref="N40:O40"/>
    <mergeCell ref="P40:R40"/>
    <mergeCell ref="P41:R41"/>
    <mergeCell ref="N41:O42"/>
    <mergeCell ref="P42:R42"/>
    <mergeCell ref="P8:P9"/>
    <mergeCell ref="Q8:Q9"/>
    <mergeCell ref="N8:N9"/>
    <mergeCell ref="I14:I21"/>
    <mergeCell ref="L16:L17"/>
    <mergeCell ref="M16:M17"/>
    <mergeCell ref="N16:N17"/>
    <mergeCell ref="H14:H21"/>
    <mergeCell ref="A14:A21"/>
    <mergeCell ref="B14:B21"/>
    <mergeCell ref="C14:C21"/>
    <mergeCell ref="O16:O17"/>
    <mergeCell ref="M25:M26"/>
    <mergeCell ref="L26:L27"/>
    <mergeCell ref="A36:A39"/>
    <mergeCell ref="L29:M29"/>
    <mergeCell ref="A40:A41"/>
    <mergeCell ref="A42:A43"/>
    <mergeCell ref="A11:A13"/>
    <mergeCell ref="B3:B5"/>
    <mergeCell ref="C3:C5"/>
    <mergeCell ref="A9:A10"/>
    <mergeCell ref="B9:B10"/>
    <mergeCell ref="C9:C10"/>
    <mergeCell ref="H11:H13"/>
    <mergeCell ref="B11:B13"/>
    <mergeCell ref="C11:C13"/>
    <mergeCell ref="H7:H8"/>
    <mergeCell ref="H9:H10"/>
    <mergeCell ref="A1:C1"/>
    <mergeCell ref="A7:A8"/>
    <mergeCell ref="B7:B8"/>
    <mergeCell ref="C7:C8"/>
    <mergeCell ref="M8:M9"/>
    <mergeCell ref="A3:A5"/>
    <mergeCell ref="H3:H5"/>
    <mergeCell ref="N1:O1"/>
    <mergeCell ref="P1:Q1"/>
    <mergeCell ref="L3:L6"/>
    <mergeCell ref="M3:M6"/>
    <mergeCell ref="O3:O6"/>
    <mergeCell ref="L1:M1"/>
    <mergeCell ref="V16:V17"/>
    <mergeCell ref="W3:W6"/>
    <mergeCell ref="W16:W17"/>
    <mergeCell ref="I7:I8"/>
    <mergeCell ref="I9:I10"/>
    <mergeCell ref="I3:I5"/>
    <mergeCell ref="I11:I13"/>
    <mergeCell ref="P16:P17"/>
    <mergeCell ref="Q16:Q17"/>
    <mergeCell ref="Q3:Q6"/>
    <mergeCell ref="N3:N6"/>
    <mergeCell ref="P3:P6"/>
    <mergeCell ref="V3:V6"/>
    <mergeCell ref="L8:L9"/>
    <mergeCell ref="V8:V9"/>
    <mergeCell ref="O8:O9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981-4E9C-4C34-B23C-6FFF13C17E86}">
  <dimension ref="A1:P20"/>
  <sheetViews>
    <sheetView zoomScale="115" zoomScaleNormal="115" workbookViewId="0">
      <selection activeCell="M26" sqref="M26"/>
    </sheetView>
  </sheetViews>
  <sheetFormatPr defaultRowHeight="14" x14ac:dyDescent="0.3"/>
  <cols>
    <col min="1" max="1" width="11.08203125" customWidth="1"/>
  </cols>
  <sheetData>
    <row r="1" spans="1:15" x14ac:dyDescent="0.3">
      <c r="A1" t="s">
        <v>59</v>
      </c>
      <c r="B1" t="s">
        <v>70</v>
      </c>
    </row>
    <row r="3" spans="1:15" x14ac:dyDescent="0.3">
      <c r="B3" t="s">
        <v>60</v>
      </c>
      <c r="C3" t="s">
        <v>2</v>
      </c>
      <c r="D3" t="s">
        <v>1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11</v>
      </c>
      <c r="L3" t="s">
        <v>11</v>
      </c>
    </row>
    <row r="4" spans="1:15" x14ac:dyDescent="0.3">
      <c r="A4" s="112" t="s">
        <v>67</v>
      </c>
      <c r="B4" s="112">
        <v>97.6</v>
      </c>
      <c r="C4" s="112">
        <v>83.4</v>
      </c>
      <c r="D4" s="112">
        <v>81.5</v>
      </c>
      <c r="E4" s="112">
        <v>67.599999999999994</v>
      </c>
      <c r="F4" s="112">
        <v>67.3</v>
      </c>
      <c r="G4" s="112">
        <v>47.9</v>
      </c>
      <c r="H4" s="112">
        <v>0</v>
      </c>
      <c r="I4" s="112">
        <v>79.7</v>
      </c>
      <c r="J4" s="112">
        <v>43.1</v>
      </c>
      <c r="K4" s="112"/>
      <c r="L4" s="112"/>
      <c r="M4" s="112">
        <f>SUM(B4:J4)/9</f>
        <v>63.122222222222227</v>
      </c>
      <c r="N4" t="s">
        <v>73</v>
      </c>
    </row>
    <row r="5" spans="1:15" x14ac:dyDescent="0.3">
      <c r="A5" s="112" t="s">
        <v>68</v>
      </c>
      <c r="B5" s="112">
        <v>96.3</v>
      </c>
      <c r="C5" s="112">
        <v>94.4</v>
      </c>
      <c r="D5" s="112">
        <v>82.5</v>
      </c>
      <c r="E5" s="112">
        <v>81</v>
      </c>
      <c r="F5" s="112">
        <v>89.9</v>
      </c>
      <c r="G5" s="112">
        <v>34.700000000000003</v>
      </c>
      <c r="H5" s="112">
        <v>0</v>
      </c>
      <c r="I5" s="112">
        <v>49.7</v>
      </c>
      <c r="J5" s="112">
        <v>98.3</v>
      </c>
      <c r="K5" s="112"/>
      <c r="L5" s="112"/>
      <c r="M5" s="112">
        <f>SUM(C5:J5)/8</f>
        <v>66.312499999999986</v>
      </c>
      <c r="N5" t="s">
        <v>71</v>
      </c>
    </row>
    <row r="6" spans="1:15" x14ac:dyDescent="0.3">
      <c r="A6" s="112" t="s">
        <v>110</v>
      </c>
      <c r="B6" s="112">
        <v>97.4</v>
      </c>
      <c r="C6" s="112">
        <v>82.8</v>
      </c>
      <c r="D6" s="112">
        <v>84.8</v>
      </c>
      <c r="E6" s="112">
        <v>77.400000000000006</v>
      </c>
      <c r="F6" s="112">
        <v>68.900000000000006</v>
      </c>
      <c r="G6" s="112">
        <v>49.2</v>
      </c>
      <c r="H6" s="112">
        <v>0.1</v>
      </c>
      <c r="I6" s="112">
        <v>59.7</v>
      </c>
      <c r="J6" s="112">
        <v>70.3</v>
      </c>
      <c r="K6" s="112"/>
      <c r="L6" s="112"/>
      <c r="M6" s="112">
        <f t="shared" ref="M6" si="0">SUM(B6:J6)/9</f>
        <v>65.622222222222206</v>
      </c>
    </row>
    <row r="7" spans="1:15" x14ac:dyDescent="0.3">
      <c r="A7" s="112"/>
      <c r="B7" s="112">
        <v>96.6</v>
      </c>
      <c r="C7" s="112">
        <v>94.5</v>
      </c>
      <c r="D7" s="112">
        <v>86</v>
      </c>
      <c r="E7" s="112">
        <v>78.099999999999994</v>
      </c>
      <c r="F7" s="112">
        <v>95</v>
      </c>
      <c r="G7" s="112">
        <v>35.6</v>
      </c>
      <c r="H7" s="112">
        <v>0.1</v>
      </c>
      <c r="I7" s="112">
        <v>43.4</v>
      </c>
      <c r="J7" s="112">
        <v>94.9</v>
      </c>
      <c r="K7" s="112"/>
      <c r="L7" s="112"/>
      <c r="M7" s="112">
        <f>SUM(C7:J7)/8</f>
        <v>65.95</v>
      </c>
    </row>
    <row r="8" spans="1:15" x14ac:dyDescent="0.3">
      <c r="A8" t="s">
        <v>69</v>
      </c>
      <c r="B8">
        <v>96.8</v>
      </c>
      <c r="C8">
        <v>82.9</v>
      </c>
      <c r="D8">
        <v>85.2</v>
      </c>
      <c r="E8">
        <v>74.2</v>
      </c>
      <c r="F8">
        <v>61.5</v>
      </c>
      <c r="G8">
        <v>27.3</v>
      </c>
      <c r="H8">
        <v>0</v>
      </c>
      <c r="I8">
        <v>60.7</v>
      </c>
      <c r="J8">
        <v>43.3</v>
      </c>
      <c r="M8">
        <f>AVERAGE(C8:J8)</f>
        <v>54.387500000000003</v>
      </c>
      <c r="N8" t="s">
        <v>72</v>
      </c>
    </row>
    <row r="9" spans="1:15" x14ac:dyDescent="0.3">
      <c r="M9">
        <v>64.900000000000006</v>
      </c>
      <c r="N9" t="s">
        <v>71</v>
      </c>
    </row>
    <row r="10" spans="1:15" x14ac:dyDescent="0.3">
      <c r="A10" t="s">
        <v>74</v>
      </c>
      <c r="B10">
        <v>97.7</v>
      </c>
      <c r="C10">
        <v>88.2</v>
      </c>
      <c r="D10">
        <v>79.599999999999994</v>
      </c>
      <c r="E10">
        <v>70.7</v>
      </c>
      <c r="F10">
        <v>45.1</v>
      </c>
      <c r="G10">
        <v>40.200000000000003</v>
      </c>
      <c r="H10">
        <v>0</v>
      </c>
      <c r="I10">
        <v>21.5</v>
      </c>
      <c r="J10">
        <v>37.4</v>
      </c>
      <c r="M10">
        <f>SUM(B10:J10)/9</f>
        <v>53.377777777777773</v>
      </c>
      <c r="N10" t="s">
        <v>76</v>
      </c>
    </row>
    <row r="11" spans="1:15" x14ac:dyDescent="0.3">
      <c r="J11" t="s">
        <v>11</v>
      </c>
      <c r="M11">
        <v>56.4</v>
      </c>
      <c r="N11" t="s">
        <v>71</v>
      </c>
    </row>
    <row r="12" spans="1:15" x14ac:dyDescent="0.3">
      <c r="A12" t="s">
        <v>75</v>
      </c>
      <c r="B12">
        <v>97.5</v>
      </c>
      <c r="C12">
        <v>62.2</v>
      </c>
      <c r="D12">
        <v>87.7</v>
      </c>
      <c r="E12">
        <v>76.3</v>
      </c>
      <c r="F12">
        <v>73.400000000000006</v>
      </c>
      <c r="G12">
        <v>53.7</v>
      </c>
      <c r="H12">
        <v>0</v>
      </c>
      <c r="I12">
        <v>70.3</v>
      </c>
      <c r="J12">
        <v>89.4</v>
      </c>
      <c r="M12">
        <f>SUM(B12:J12)/9</f>
        <v>67.833333333333329</v>
      </c>
    </row>
    <row r="13" spans="1:15" x14ac:dyDescent="0.3">
      <c r="M13">
        <v>59.8</v>
      </c>
    </row>
    <row r="14" spans="1:15" x14ac:dyDescent="0.3">
      <c r="A14" t="s">
        <v>21</v>
      </c>
      <c r="B14">
        <v>96.4</v>
      </c>
      <c r="C14">
        <v>92.6</v>
      </c>
      <c r="D14">
        <v>82.1</v>
      </c>
      <c r="E14">
        <v>78.2</v>
      </c>
      <c r="F14">
        <v>89.6</v>
      </c>
      <c r="G14">
        <v>24.1</v>
      </c>
      <c r="H14">
        <v>1.2</v>
      </c>
      <c r="I14">
        <v>46.2</v>
      </c>
      <c r="J14">
        <v>94.2</v>
      </c>
      <c r="M14">
        <f>AVERAGE(C14:J14)</f>
        <v>63.524999999999999</v>
      </c>
    </row>
    <row r="16" spans="1:15" x14ac:dyDescent="0.3">
      <c r="A16" t="s">
        <v>111</v>
      </c>
      <c r="B16" t="s">
        <v>112</v>
      </c>
      <c r="C16" t="s">
        <v>113</v>
      </c>
      <c r="D16" t="s">
        <v>61</v>
      </c>
      <c r="E16" t="s">
        <v>114</v>
      </c>
      <c r="F16" t="s">
        <v>115</v>
      </c>
      <c r="G16" t="s">
        <v>116</v>
      </c>
      <c r="H16" t="s">
        <v>2</v>
      </c>
      <c r="I16" t="s">
        <v>117</v>
      </c>
      <c r="J16" t="s">
        <v>118</v>
      </c>
      <c r="K16" t="s">
        <v>119</v>
      </c>
      <c r="L16" t="s">
        <v>120</v>
      </c>
      <c r="M16" t="s">
        <v>62</v>
      </c>
      <c r="N16" t="s">
        <v>1</v>
      </c>
      <c r="O16" t="s">
        <v>71</v>
      </c>
    </row>
    <row r="17" spans="1:16" x14ac:dyDescent="0.3">
      <c r="B17">
        <v>96.2</v>
      </c>
      <c r="C17">
        <v>75.3</v>
      </c>
      <c r="D17">
        <v>77.7</v>
      </c>
      <c r="E17">
        <v>66.3</v>
      </c>
      <c r="F17">
        <v>72.3</v>
      </c>
      <c r="G17">
        <v>59.4</v>
      </c>
      <c r="H17">
        <v>97.9</v>
      </c>
      <c r="I17">
        <v>68.2</v>
      </c>
      <c r="J17">
        <v>86</v>
      </c>
      <c r="K17">
        <v>89.6</v>
      </c>
      <c r="L17">
        <v>81.8</v>
      </c>
      <c r="M17">
        <v>84.6</v>
      </c>
      <c r="N17">
        <v>86.7</v>
      </c>
      <c r="O17">
        <f>AVERAGE(C17:N17)</f>
        <v>78.816666666666677</v>
      </c>
      <c r="P17">
        <v>78.8</v>
      </c>
    </row>
    <row r="18" spans="1:16" x14ac:dyDescent="0.3">
      <c r="A18" t="s">
        <v>21</v>
      </c>
      <c r="B18">
        <v>95.5</v>
      </c>
      <c r="C18">
        <v>75.3</v>
      </c>
      <c r="D18">
        <v>77.099999999999994</v>
      </c>
      <c r="E18">
        <v>63.2</v>
      </c>
      <c r="F18">
        <v>71.099999999999994</v>
      </c>
      <c r="G18">
        <v>57.3</v>
      </c>
      <c r="H18">
        <v>97.9</v>
      </c>
      <c r="I18">
        <v>66</v>
      </c>
      <c r="J18">
        <v>85.9</v>
      </c>
      <c r="K18">
        <v>89.5</v>
      </c>
      <c r="L18">
        <v>82.4</v>
      </c>
      <c r="M18">
        <v>85</v>
      </c>
      <c r="N18">
        <v>83.2</v>
      </c>
      <c r="O18">
        <f>AVERAGE(C18:N18)</f>
        <v>77.825000000000003</v>
      </c>
    </row>
    <row r="19" spans="1:16" x14ac:dyDescent="0.3">
      <c r="B19">
        <v>96.3</v>
      </c>
      <c r="C19">
        <v>78.3</v>
      </c>
      <c r="D19">
        <v>65.900000000000006</v>
      </c>
      <c r="E19">
        <v>64.099999999999994</v>
      </c>
      <c r="F19">
        <v>60</v>
      </c>
      <c r="G19">
        <v>58.4</v>
      </c>
      <c r="H19">
        <v>89.7</v>
      </c>
      <c r="I19">
        <v>62.1</v>
      </c>
      <c r="J19">
        <v>80.7</v>
      </c>
      <c r="K19">
        <v>83.9</v>
      </c>
      <c r="L19">
        <v>77.099999999999994</v>
      </c>
      <c r="M19">
        <v>66.2</v>
      </c>
      <c r="N19">
        <v>80.3</v>
      </c>
      <c r="O19">
        <f>AVERAGE(C19:N19)</f>
        <v>72.224999999999994</v>
      </c>
    </row>
    <row r="20" spans="1:16" x14ac:dyDescent="0.3">
      <c r="B20">
        <v>78.3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2ECC-16BC-4D95-9307-66B4BAB74D1C}">
  <dimension ref="A1:U37"/>
  <sheetViews>
    <sheetView topLeftCell="A17" zoomScaleNormal="100" workbookViewId="0">
      <selection activeCell="J27" sqref="J27"/>
    </sheetView>
  </sheetViews>
  <sheetFormatPr defaultRowHeight="14" x14ac:dyDescent="0.3"/>
  <cols>
    <col min="1" max="1" width="12.5" bestFit="1" customWidth="1"/>
    <col min="14" max="14" width="20.75" bestFit="1" customWidth="1"/>
  </cols>
  <sheetData>
    <row r="1" spans="1:21" x14ac:dyDescent="0.3">
      <c r="A1" s="138" t="s">
        <v>82</v>
      </c>
      <c r="B1" s="138"/>
      <c r="C1" s="138"/>
      <c r="D1" s="138"/>
      <c r="S1" t="s">
        <v>108</v>
      </c>
      <c r="T1" t="s">
        <v>107</v>
      </c>
      <c r="U1" t="s">
        <v>109</v>
      </c>
    </row>
    <row r="2" spans="1:21" x14ac:dyDescent="0.3">
      <c r="A2" t="s">
        <v>24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94</v>
      </c>
      <c r="I2">
        <v>50</v>
      </c>
      <c r="J2">
        <v>71.900000000000006</v>
      </c>
      <c r="K2">
        <v>44.7</v>
      </c>
      <c r="L2">
        <v>55.5</v>
      </c>
      <c r="N2" t="s">
        <v>97</v>
      </c>
      <c r="R2">
        <v>4096</v>
      </c>
      <c r="S2">
        <v>4096</v>
      </c>
      <c r="T2">
        <v>0.89</v>
      </c>
      <c r="U2">
        <v>1.41</v>
      </c>
    </row>
    <row r="3" spans="1:21" x14ac:dyDescent="0.3">
      <c r="B3">
        <v>85.1</v>
      </c>
      <c r="C3">
        <v>89.8</v>
      </c>
      <c r="D3">
        <v>74.900000000000006</v>
      </c>
      <c r="E3">
        <v>83.3</v>
      </c>
      <c r="F3" t="s">
        <v>81</v>
      </c>
      <c r="H3" t="s">
        <v>95</v>
      </c>
      <c r="I3">
        <v>81.099999999999994</v>
      </c>
      <c r="J3">
        <v>87.2</v>
      </c>
      <c r="K3">
        <v>64.599999999999994</v>
      </c>
      <c r="L3">
        <v>77.599999999999994</v>
      </c>
      <c r="N3" t="s">
        <v>21</v>
      </c>
      <c r="O3">
        <v>46.76</v>
      </c>
      <c r="P3">
        <v>45.09</v>
      </c>
      <c r="Q3">
        <v>45.52</v>
      </c>
      <c r="R3">
        <v>16384</v>
      </c>
      <c r="S3">
        <v>16384</v>
      </c>
      <c r="T3">
        <v>3.54</v>
      </c>
      <c r="U3">
        <v>5.61</v>
      </c>
    </row>
    <row r="4" spans="1:21" x14ac:dyDescent="0.3">
      <c r="A4" t="s">
        <v>84</v>
      </c>
      <c r="B4">
        <v>85.7</v>
      </c>
      <c r="C4">
        <v>90.6</v>
      </c>
      <c r="D4">
        <v>71.7</v>
      </c>
      <c r="E4">
        <v>82.7</v>
      </c>
      <c r="F4" s="117">
        <v>130.22</v>
      </c>
      <c r="N4" t="s">
        <v>98</v>
      </c>
      <c r="O4">
        <v>31.51</v>
      </c>
      <c r="P4">
        <v>33.14</v>
      </c>
      <c r="Q4">
        <v>32.090000000000003</v>
      </c>
      <c r="R4">
        <v>50176</v>
      </c>
      <c r="S4">
        <v>50176</v>
      </c>
      <c r="T4">
        <v>10.84</v>
      </c>
      <c r="U4">
        <v>17.18</v>
      </c>
    </row>
    <row r="5" spans="1:21" x14ac:dyDescent="0.3">
      <c r="A5" t="s">
        <v>85</v>
      </c>
      <c r="B5">
        <v>85.4</v>
      </c>
      <c r="C5">
        <v>90.4</v>
      </c>
      <c r="D5">
        <v>70.2</v>
      </c>
      <c r="E5">
        <v>82</v>
      </c>
      <c r="F5" t="s">
        <v>90</v>
      </c>
      <c r="N5" t="s">
        <v>50</v>
      </c>
      <c r="O5">
        <v>34.799999999999997</v>
      </c>
      <c r="R5">
        <v>65536</v>
      </c>
      <c r="S5">
        <v>65536</v>
      </c>
      <c r="T5">
        <v>14.16</v>
      </c>
      <c r="U5">
        <v>22.44</v>
      </c>
    </row>
    <row r="6" spans="1:21" x14ac:dyDescent="0.3">
      <c r="A6" t="s">
        <v>100</v>
      </c>
      <c r="B6">
        <v>64.099999999999994</v>
      </c>
      <c r="C6">
        <v>90.3</v>
      </c>
      <c r="D6">
        <v>72.8</v>
      </c>
      <c r="E6">
        <v>82.4</v>
      </c>
      <c r="F6">
        <v>130.22</v>
      </c>
      <c r="N6" t="s">
        <v>99</v>
      </c>
      <c r="O6">
        <v>24.7</v>
      </c>
      <c r="P6">
        <v>24.29</v>
      </c>
      <c r="Q6">
        <v>24.05</v>
      </c>
      <c r="R6">
        <f>S6*S6</f>
        <v>53084160000</v>
      </c>
      <c r="S6">
        <v>230400</v>
      </c>
      <c r="T6">
        <v>49.79</v>
      </c>
      <c r="U6">
        <v>78.89</v>
      </c>
    </row>
    <row r="7" spans="1:21" x14ac:dyDescent="0.3">
      <c r="A7" t="s">
        <v>101</v>
      </c>
      <c r="B7">
        <v>79</v>
      </c>
      <c r="C7">
        <v>87.8</v>
      </c>
      <c r="D7">
        <v>53.8</v>
      </c>
      <c r="E7">
        <v>73.599999999999994</v>
      </c>
      <c r="F7">
        <v>66.37</v>
      </c>
      <c r="R7">
        <f t="shared" ref="R7:R13" si="0">S7*S7</f>
        <v>68719476736</v>
      </c>
      <c r="S7">
        <v>262144</v>
      </c>
      <c r="T7">
        <v>56.65</v>
      </c>
      <c r="U7">
        <v>89.76</v>
      </c>
    </row>
    <row r="8" spans="1:21" x14ac:dyDescent="0.3">
      <c r="A8" t="s">
        <v>0</v>
      </c>
      <c r="B8">
        <v>83.4</v>
      </c>
      <c r="C8">
        <v>88.5</v>
      </c>
      <c r="D8">
        <v>71.400000000000006</v>
      </c>
      <c r="E8">
        <v>81.099999999999994</v>
      </c>
      <c r="F8" t="s">
        <v>91</v>
      </c>
      <c r="N8">
        <v>1280</v>
      </c>
      <c r="R8">
        <f t="shared" si="0"/>
        <v>167772160000</v>
      </c>
      <c r="S8">
        <v>409600</v>
      </c>
      <c r="T8">
        <v>88.52</v>
      </c>
      <c r="U8">
        <v>140.24</v>
      </c>
    </row>
    <row r="9" spans="1:21" x14ac:dyDescent="0.3">
      <c r="A9" t="s">
        <v>86</v>
      </c>
      <c r="N9" t="s">
        <v>21</v>
      </c>
      <c r="R9">
        <f t="shared" si="0"/>
        <v>347892350976</v>
      </c>
      <c r="S9">
        <v>589824</v>
      </c>
      <c r="T9">
        <v>127.47</v>
      </c>
      <c r="U9">
        <v>201.95</v>
      </c>
    </row>
    <row r="10" spans="1:21" x14ac:dyDescent="0.3">
      <c r="A10" t="s">
        <v>88</v>
      </c>
      <c r="B10">
        <v>77.5</v>
      </c>
      <c r="C10">
        <v>88.2</v>
      </c>
      <c r="D10">
        <v>49.7</v>
      </c>
      <c r="E10">
        <v>71.8</v>
      </c>
      <c r="F10">
        <v>109.87</v>
      </c>
      <c r="N10" t="s">
        <v>98</v>
      </c>
      <c r="R10">
        <f t="shared" si="0"/>
        <v>1099511627776</v>
      </c>
      <c r="S10">
        <v>1048576</v>
      </c>
      <c r="T10">
        <v>226.61</v>
      </c>
      <c r="U10">
        <v>359.02</v>
      </c>
    </row>
    <row r="11" spans="1:21" x14ac:dyDescent="0.3">
      <c r="A11" t="s">
        <v>87</v>
      </c>
      <c r="B11">
        <v>80.2</v>
      </c>
      <c r="C11">
        <v>88.4</v>
      </c>
      <c r="D11">
        <v>52.8</v>
      </c>
      <c r="E11">
        <v>73.8</v>
      </c>
      <c r="F11" t="s">
        <v>89</v>
      </c>
      <c r="N11" t="s">
        <v>99</v>
      </c>
      <c r="O11">
        <v>9.52</v>
      </c>
      <c r="R11">
        <f t="shared" si="0"/>
        <v>2684354560000</v>
      </c>
      <c r="S11">
        <v>1638400</v>
      </c>
      <c r="T11">
        <v>354.07</v>
      </c>
      <c r="U11">
        <v>560.96</v>
      </c>
    </row>
    <row r="12" spans="1:21" x14ac:dyDescent="0.3">
      <c r="A12" t="s">
        <v>92</v>
      </c>
      <c r="B12">
        <v>83.3</v>
      </c>
      <c r="C12">
        <v>90.2</v>
      </c>
      <c r="D12">
        <v>72.7</v>
      </c>
      <c r="E12">
        <v>82.1</v>
      </c>
      <c r="R12">
        <f t="shared" si="0"/>
        <v>13589544960000</v>
      </c>
      <c r="S12">
        <v>3686400</v>
      </c>
      <c r="T12">
        <v>796.67</v>
      </c>
      <c r="U12">
        <v>1262.1600000000001</v>
      </c>
    </row>
    <row r="13" spans="1:21" x14ac:dyDescent="0.3">
      <c r="A13" t="s">
        <v>93</v>
      </c>
      <c r="B13">
        <v>68.599999999999994</v>
      </c>
      <c r="C13">
        <v>82.5</v>
      </c>
      <c r="D13">
        <v>54.1</v>
      </c>
      <c r="E13">
        <v>68.400000000000006</v>
      </c>
      <c r="R13">
        <f t="shared" si="0"/>
        <v>42949672960000</v>
      </c>
      <c r="S13">
        <v>6553600</v>
      </c>
      <c r="T13">
        <v>1416.3</v>
      </c>
      <c r="U13">
        <v>2243.84</v>
      </c>
    </row>
    <row r="14" spans="1:21" x14ac:dyDescent="0.3">
      <c r="A14" t="s">
        <v>20</v>
      </c>
      <c r="B14" s="113" t="s">
        <v>25</v>
      </c>
      <c r="C14" t="s">
        <v>83</v>
      </c>
    </row>
    <row r="15" spans="1:21" x14ac:dyDescent="0.3">
      <c r="A15">
        <v>640</v>
      </c>
      <c r="B15">
        <v>97.5</v>
      </c>
      <c r="C15">
        <v>65.5</v>
      </c>
    </row>
    <row r="16" spans="1:21" ht="14.5" thickBot="1" x14ac:dyDescent="0.35">
      <c r="A16">
        <v>1280</v>
      </c>
      <c r="B16">
        <v>97.31</v>
      </c>
      <c r="C16">
        <v>68.5</v>
      </c>
      <c r="N16" t="s">
        <v>21</v>
      </c>
    </row>
    <row r="17" spans="1:14" x14ac:dyDescent="0.3">
      <c r="A17" t="s">
        <v>27</v>
      </c>
      <c r="B17" s="114" t="s">
        <v>38</v>
      </c>
      <c r="C17" s="115" t="s">
        <v>39</v>
      </c>
      <c r="D17" s="115" t="s">
        <v>40</v>
      </c>
      <c r="E17" s="115" t="s">
        <v>41</v>
      </c>
      <c r="F17" s="115" t="s">
        <v>42</v>
      </c>
      <c r="G17" s="115" t="s">
        <v>43</v>
      </c>
      <c r="H17" s="115" t="s">
        <v>44</v>
      </c>
      <c r="I17" s="116" t="s">
        <v>83</v>
      </c>
      <c r="N17" t="s">
        <v>92</v>
      </c>
    </row>
    <row r="18" spans="1:14" x14ac:dyDescent="0.3">
      <c r="A18">
        <v>640</v>
      </c>
      <c r="B18">
        <v>85.6</v>
      </c>
      <c r="C18">
        <v>93.7</v>
      </c>
      <c r="D18">
        <v>93.9</v>
      </c>
      <c r="E18">
        <v>90.8</v>
      </c>
      <c r="F18">
        <v>82.4</v>
      </c>
      <c r="G18">
        <v>89.9</v>
      </c>
      <c r="H18">
        <v>89.4</v>
      </c>
      <c r="I18">
        <v>59.7</v>
      </c>
      <c r="N18" s="44" t="s">
        <v>93</v>
      </c>
    </row>
    <row r="19" spans="1:14" ht="14.5" thickBot="1" x14ac:dyDescent="0.35">
      <c r="A19">
        <v>1024</v>
      </c>
      <c r="B19">
        <v>91</v>
      </c>
      <c r="C19">
        <v>95.2</v>
      </c>
      <c r="D19">
        <v>94</v>
      </c>
      <c r="E19">
        <v>94.1</v>
      </c>
      <c r="F19">
        <v>91.2</v>
      </c>
      <c r="G19">
        <v>89</v>
      </c>
      <c r="H19">
        <v>92.4</v>
      </c>
      <c r="I19">
        <v>62.3</v>
      </c>
      <c r="N19" s="44"/>
    </row>
    <row r="20" spans="1:14" x14ac:dyDescent="0.3">
      <c r="A20" t="s">
        <v>106</v>
      </c>
      <c r="B20" s="66" t="s">
        <v>2</v>
      </c>
      <c r="C20" s="66" t="s">
        <v>31</v>
      </c>
      <c r="D20" s="66" t="s">
        <v>32</v>
      </c>
      <c r="E20" s="66" t="s">
        <v>33</v>
      </c>
      <c r="F20" s="66" t="s">
        <v>34</v>
      </c>
      <c r="G20" s="66" t="s">
        <v>35</v>
      </c>
      <c r="H20" s="66" t="s">
        <v>36</v>
      </c>
      <c r="I20" s="66" t="s">
        <v>37</v>
      </c>
      <c r="J20" s="66" t="s">
        <v>49</v>
      </c>
      <c r="K20" s="67" t="s">
        <v>4</v>
      </c>
      <c r="L20" s="44" t="s">
        <v>83</v>
      </c>
      <c r="N20" s="44" t="s">
        <v>11</v>
      </c>
    </row>
    <row r="21" spans="1:14" x14ac:dyDescent="0.3">
      <c r="A21">
        <v>1</v>
      </c>
      <c r="B21">
        <v>93.2</v>
      </c>
      <c r="C21">
        <v>81.599999999999994</v>
      </c>
      <c r="D21">
        <v>83.2</v>
      </c>
      <c r="E21">
        <v>87.8</v>
      </c>
      <c r="F21">
        <v>79.3</v>
      </c>
      <c r="G21">
        <v>65.599999999999994</v>
      </c>
      <c r="H21">
        <v>94.1</v>
      </c>
      <c r="I21">
        <v>99.5</v>
      </c>
      <c r="K21">
        <v>85.5</v>
      </c>
      <c r="L21">
        <v>50.9</v>
      </c>
      <c r="M21">
        <f>AVERAGE(B21:I21)</f>
        <v>85.537500000000009</v>
      </c>
    </row>
    <row r="22" spans="1:14" x14ac:dyDescent="0.3">
      <c r="A22">
        <v>2</v>
      </c>
      <c r="B22" s="118">
        <v>90.1</v>
      </c>
      <c r="C22" s="118">
        <v>69.3</v>
      </c>
      <c r="D22" s="118">
        <v>90.6</v>
      </c>
      <c r="E22" s="118">
        <v>87.2</v>
      </c>
      <c r="F22" s="118">
        <v>80.8</v>
      </c>
      <c r="G22" s="118">
        <v>81.2</v>
      </c>
      <c r="H22" s="118">
        <v>71.2</v>
      </c>
      <c r="I22" s="118">
        <v>99.5</v>
      </c>
      <c r="J22" s="118"/>
      <c r="K22" s="118">
        <v>83.7</v>
      </c>
      <c r="L22" s="118">
        <v>41.6</v>
      </c>
      <c r="M22">
        <f t="shared" ref="M22:M31" si="1">AVERAGE(B22:I22)</f>
        <v>83.737499999999997</v>
      </c>
    </row>
    <row r="23" spans="1:14" x14ac:dyDescent="0.3">
      <c r="A23">
        <v>3</v>
      </c>
      <c r="B23">
        <v>94</v>
      </c>
      <c r="C23">
        <v>81.7</v>
      </c>
      <c r="D23">
        <v>91.8</v>
      </c>
      <c r="E23">
        <v>93.7</v>
      </c>
      <c r="F23">
        <v>84.9</v>
      </c>
      <c r="G23">
        <v>54.1</v>
      </c>
      <c r="H23">
        <v>78.400000000000006</v>
      </c>
      <c r="I23">
        <v>99.5</v>
      </c>
      <c r="K23">
        <v>84.8</v>
      </c>
      <c r="L23">
        <v>45.3</v>
      </c>
      <c r="M23">
        <f t="shared" si="1"/>
        <v>84.762500000000003</v>
      </c>
    </row>
    <row r="24" spans="1:14" x14ac:dyDescent="0.3">
      <c r="A24">
        <v>4</v>
      </c>
      <c r="B24">
        <v>95.4</v>
      </c>
      <c r="C24">
        <v>72.599999999999994</v>
      </c>
      <c r="D24">
        <v>89</v>
      </c>
      <c r="E24">
        <v>97.5</v>
      </c>
      <c r="F24">
        <v>75.599999999999994</v>
      </c>
      <c r="G24">
        <v>67.099999999999994</v>
      </c>
      <c r="H24">
        <v>82.6</v>
      </c>
      <c r="I24">
        <v>97.7</v>
      </c>
      <c r="K24">
        <v>84.7</v>
      </c>
      <c r="L24">
        <v>48.9</v>
      </c>
      <c r="M24">
        <f t="shared" si="1"/>
        <v>84.687500000000014</v>
      </c>
    </row>
    <row r="25" spans="1:14" x14ac:dyDescent="0.3">
      <c r="A25">
        <v>5</v>
      </c>
      <c r="B25">
        <v>92</v>
      </c>
      <c r="C25">
        <v>77.2</v>
      </c>
      <c r="D25">
        <v>89.1</v>
      </c>
      <c r="E25">
        <v>81</v>
      </c>
      <c r="F25">
        <v>87.4</v>
      </c>
      <c r="G25">
        <v>57.7</v>
      </c>
      <c r="H25">
        <v>74</v>
      </c>
      <c r="I25">
        <v>97.2</v>
      </c>
      <c r="K25">
        <v>82</v>
      </c>
      <c r="L25">
        <v>48.4</v>
      </c>
      <c r="M25">
        <f t="shared" si="1"/>
        <v>81.949999999999989</v>
      </c>
    </row>
    <row r="26" spans="1:14" x14ac:dyDescent="0.3">
      <c r="A26">
        <v>6</v>
      </c>
      <c r="B26">
        <v>93.6</v>
      </c>
      <c r="C26">
        <v>72.400000000000006</v>
      </c>
      <c r="D26">
        <v>81.8</v>
      </c>
      <c r="E26">
        <v>79.599999999999994</v>
      </c>
      <c r="F26">
        <v>83.1</v>
      </c>
      <c r="G26">
        <v>73.3</v>
      </c>
      <c r="H26">
        <v>99.5</v>
      </c>
      <c r="I26">
        <v>99.5</v>
      </c>
      <c r="K26">
        <v>85.3</v>
      </c>
      <c r="L26">
        <v>53.1</v>
      </c>
      <c r="M26">
        <f t="shared" si="1"/>
        <v>85.35</v>
      </c>
    </row>
    <row r="27" spans="1:14" x14ac:dyDescent="0.3">
      <c r="A27">
        <v>7</v>
      </c>
      <c r="B27">
        <v>93.3</v>
      </c>
      <c r="C27">
        <v>77.400000000000006</v>
      </c>
      <c r="D27">
        <v>90.2</v>
      </c>
      <c r="E27">
        <v>67.5</v>
      </c>
      <c r="F27">
        <v>72.900000000000006</v>
      </c>
      <c r="G27">
        <v>57.4</v>
      </c>
      <c r="H27">
        <v>80.7</v>
      </c>
      <c r="I27">
        <v>99.5</v>
      </c>
      <c r="J27" t="s">
        <v>11</v>
      </c>
      <c r="K27">
        <v>79.900000000000006</v>
      </c>
      <c r="L27">
        <v>47.3</v>
      </c>
      <c r="M27">
        <f t="shared" si="1"/>
        <v>79.862499999999997</v>
      </c>
    </row>
    <row r="28" spans="1:14" x14ac:dyDescent="0.3">
      <c r="A28">
        <v>8</v>
      </c>
      <c r="B28">
        <v>92.4</v>
      </c>
      <c r="C28">
        <v>90.1</v>
      </c>
      <c r="D28">
        <v>88.5</v>
      </c>
      <c r="E28">
        <v>92.1</v>
      </c>
      <c r="F28">
        <v>84.1</v>
      </c>
      <c r="G28">
        <v>58.9</v>
      </c>
      <c r="H28">
        <v>80.099999999999994</v>
      </c>
      <c r="I28">
        <v>99.5</v>
      </c>
      <c r="K28">
        <v>85.7</v>
      </c>
      <c r="L28">
        <v>51.2</v>
      </c>
      <c r="M28">
        <f t="shared" si="1"/>
        <v>85.712500000000006</v>
      </c>
    </row>
    <row r="29" spans="1:14" x14ac:dyDescent="0.3">
      <c r="A29">
        <v>9</v>
      </c>
      <c r="B29">
        <v>94.5</v>
      </c>
      <c r="C29">
        <v>81.599999999999994</v>
      </c>
      <c r="D29">
        <v>89.9</v>
      </c>
      <c r="E29">
        <v>83.8</v>
      </c>
      <c r="F29">
        <v>75.8</v>
      </c>
      <c r="G29">
        <v>58</v>
      </c>
      <c r="H29">
        <v>89.8</v>
      </c>
      <c r="I29">
        <v>99.5</v>
      </c>
      <c r="K29">
        <v>84.1</v>
      </c>
      <c r="L29">
        <v>48.3</v>
      </c>
      <c r="M29">
        <f t="shared" si="1"/>
        <v>84.112499999999997</v>
      </c>
    </row>
    <row r="30" spans="1:14" x14ac:dyDescent="0.3">
      <c r="A30">
        <v>10</v>
      </c>
      <c r="B30">
        <v>94.1</v>
      </c>
      <c r="C30">
        <v>85.4</v>
      </c>
      <c r="D30">
        <v>91.1</v>
      </c>
      <c r="E30">
        <v>87.7</v>
      </c>
      <c r="F30">
        <v>82.3</v>
      </c>
      <c r="G30">
        <v>81.400000000000006</v>
      </c>
      <c r="H30">
        <v>85.3</v>
      </c>
      <c r="I30">
        <v>79.5</v>
      </c>
      <c r="J30" t="s">
        <v>11</v>
      </c>
      <c r="K30">
        <v>85.9</v>
      </c>
      <c r="L30">
        <v>55</v>
      </c>
      <c r="M30">
        <f t="shared" si="1"/>
        <v>85.85</v>
      </c>
    </row>
    <row r="31" spans="1:14" x14ac:dyDescent="0.3">
      <c r="B31" s="119">
        <f>AVERAGE(B21:B30)</f>
        <v>93.26</v>
      </c>
      <c r="C31" s="119">
        <f t="shared" ref="C31:L31" si="2">AVERAGE(C21:C30)</f>
        <v>78.929999999999993</v>
      </c>
      <c r="D31" s="119">
        <f t="shared" si="2"/>
        <v>88.52000000000001</v>
      </c>
      <c r="E31" s="119">
        <f t="shared" si="2"/>
        <v>85.789999999999992</v>
      </c>
      <c r="F31" s="119">
        <f t="shared" si="2"/>
        <v>80.61999999999999</v>
      </c>
      <c r="G31" s="119">
        <f t="shared" si="2"/>
        <v>65.47</v>
      </c>
      <c r="H31" s="119">
        <f t="shared" si="2"/>
        <v>83.57</v>
      </c>
      <c r="I31" s="119">
        <f t="shared" si="2"/>
        <v>97.09</v>
      </c>
      <c r="J31" s="119" t="s">
        <v>11</v>
      </c>
      <c r="K31" s="119">
        <f>AVERAGE(K21:K30)</f>
        <v>84.16</v>
      </c>
      <c r="L31" s="119">
        <f t="shared" si="2"/>
        <v>49.000000000000007</v>
      </c>
      <c r="M31">
        <f t="shared" si="1"/>
        <v>84.156250000000014</v>
      </c>
    </row>
    <row r="32" spans="1:14" x14ac:dyDescent="0.3">
      <c r="A32" t="s">
        <v>21</v>
      </c>
    </row>
    <row r="33" spans="1:6" x14ac:dyDescent="0.3">
      <c r="A33" t="s">
        <v>101</v>
      </c>
      <c r="B33">
        <v>78.900000000000006</v>
      </c>
      <c r="C33">
        <v>87.7</v>
      </c>
      <c r="D33">
        <v>51.2</v>
      </c>
      <c r="E33">
        <v>72.599999999999994</v>
      </c>
      <c r="F33" t="s">
        <v>102</v>
      </c>
    </row>
    <row r="34" spans="1:6" x14ac:dyDescent="0.3">
      <c r="A34" t="s">
        <v>103</v>
      </c>
      <c r="B34">
        <v>76.8</v>
      </c>
      <c r="C34">
        <v>85.7</v>
      </c>
      <c r="D34">
        <v>44.6</v>
      </c>
      <c r="E34">
        <v>69</v>
      </c>
      <c r="F34" t="s">
        <v>105</v>
      </c>
    </row>
    <row r="35" spans="1:6" x14ac:dyDescent="0.3">
      <c r="A35" t="s">
        <v>104</v>
      </c>
      <c r="B35">
        <v>83.8</v>
      </c>
      <c r="C35">
        <v>88.9</v>
      </c>
      <c r="D35">
        <v>67.3</v>
      </c>
      <c r="E35">
        <v>80</v>
      </c>
      <c r="F35" t="s">
        <v>54</v>
      </c>
    </row>
    <row r="36" spans="1:6" x14ac:dyDescent="0.3">
      <c r="A36" t="s">
        <v>93</v>
      </c>
      <c r="B36">
        <v>76.5</v>
      </c>
      <c r="C36">
        <v>87.4</v>
      </c>
      <c r="D36">
        <v>69.599999999999994</v>
      </c>
      <c r="E36">
        <v>77.8</v>
      </c>
    </row>
    <row r="37" spans="1:6" x14ac:dyDescent="0.3">
      <c r="A37" t="s">
        <v>92</v>
      </c>
      <c r="B37">
        <v>61.4</v>
      </c>
      <c r="C37">
        <v>78.2</v>
      </c>
      <c r="D37">
        <v>44.1</v>
      </c>
      <c r="E37">
        <v>61.2</v>
      </c>
    </row>
  </sheetData>
  <mergeCells count="1">
    <mergeCell ref="A1:D1"/>
  </mergeCells>
  <phoneticPr fontId="5" type="noConversion"/>
  <hyperlinks>
    <hyperlink ref="B14" r:id="rId1" xr:uid="{9487D6BA-0293-485E-92B3-8198BE0E288E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E1FB-16AD-48DD-91BA-DE65437EC98B}">
  <dimension ref="A1:M24"/>
  <sheetViews>
    <sheetView tabSelected="1" workbookViewId="0">
      <selection activeCell="M31" sqref="M31"/>
    </sheetView>
  </sheetViews>
  <sheetFormatPr defaultRowHeight="14" x14ac:dyDescent="0.3"/>
  <cols>
    <col min="1" max="1" width="22.1640625" bestFit="1" customWidth="1"/>
  </cols>
  <sheetData>
    <row r="1" spans="1:13" x14ac:dyDescent="0.3">
      <c r="E1" t="s">
        <v>121</v>
      </c>
      <c r="I1" t="s">
        <v>126</v>
      </c>
      <c r="M1" t="s">
        <v>127</v>
      </c>
    </row>
    <row r="2" spans="1:13" x14ac:dyDescent="0.3">
      <c r="B2" t="s">
        <v>124</v>
      </c>
      <c r="C2" t="s">
        <v>125</v>
      </c>
      <c r="D2" t="s">
        <v>123</v>
      </c>
      <c r="E2" t="s">
        <v>122</v>
      </c>
      <c r="F2" t="s">
        <v>124</v>
      </c>
      <c r="G2" t="s">
        <v>125</v>
      </c>
      <c r="H2" t="s">
        <v>123</v>
      </c>
      <c r="I2" t="s">
        <v>122</v>
      </c>
      <c r="J2" t="s">
        <v>124</v>
      </c>
      <c r="K2" t="s">
        <v>125</v>
      </c>
      <c r="L2" t="s">
        <v>123</v>
      </c>
      <c r="M2" t="s">
        <v>122</v>
      </c>
    </row>
    <row r="3" spans="1:13" hidden="1" x14ac:dyDescent="0.3">
      <c r="A3" t="s">
        <v>128</v>
      </c>
      <c r="B3">
        <v>0.72499999999999998</v>
      </c>
      <c r="C3">
        <v>0.81499999999999995</v>
      </c>
      <c r="D3">
        <v>0.66200000000000003</v>
      </c>
      <c r="E3">
        <v>0.109</v>
      </c>
      <c r="F3">
        <v>0.70599999999999996</v>
      </c>
      <c r="G3">
        <v>0.83599999999999997</v>
      </c>
      <c r="H3">
        <v>0.71499999999999997</v>
      </c>
      <c r="I3">
        <v>0.11899999999999999</v>
      </c>
      <c r="J3">
        <v>0.68</v>
      </c>
      <c r="K3">
        <v>0.79500000000000004</v>
      </c>
      <c r="L3">
        <v>0.59499999999999997</v>
      </c>
      <c r="M3">
        <v>0.114</v>
      </c>
    </row>
    <row r="4" spans="1:13" hidden="1" x14ac:dyDescent="0.3">
      <c r="A4" t="s">
        <v>129</v>
      </c>
      <c r="B4">
        <v>0.72299999999999998</v>
      </c>
      <c r="C4">
        <v>0.85899999999999999</v>
      </c>
      <c r="D4">
        <v>0.76400000000000001</v>
      </c>
      <c r="E4">
        <v>0.14000000000000001</v>
      </c>
      <c r="F4">
        <v>0.72599999999999998</v>
      </c>
      <c r="G4">
        <v>0.82699999999999996</v>
      </c>
      <c r="H4">
        <v>0.71699999999999997</v>
      </c>
      <c r="I4">
        <v>0.14499999999999999</v>
      </c>
      <c r="J4">
        <v>0.65200000000000002</v>
      </c>
      <c r="K4">
        <v>0.78</v>
      </c>
      <c r="L4">
        <v>0.57499999999999996</v>
      </c>
      <c r="M4">
        <v>0.16800000000000001</v>
      </c>
    </row>
    <row r="5" spans="1:13" hidden="1" x14ac:dyDescent="0.3">
      <c r="A5" t="s">
        <v>130</v>
      </c>
      <c r="B5">
        <v>0.76500000000000001</v>
      </c>
      <c r="C5">
        <v>0.84699999999999998</v>
      </c>
      <c r="D5">
        <v>0.76100000000000001</v>
      </c>
      <c r="E5">
        <v>8.5000000000000006E-2</v>
      </c>
      <c r="F5">
        <v>0.78700000000000003</v>
      </c>
      <c r="G5">
        <v>0.85599999999999998</v>
      </c>
      <c r="H5">
        <v>0.76400000000000001</v>
      </c>
      <c r="I5">
        <v>0.09</v>
      </c>
      <c r="J5">
        <v>0.75</v>
      </c>
      <c r="K5">
        <v>0.82399999999999995</v>
      </c>
      <c r="L5">
        <v>0.67200000000000004</v>
      </c>
      <c r="M5">
        <v>8.8999999999999996E-2</v>
      </c>
    </row>
    <row r="6" spans="1:13" hidden="1" x14ac:dyDescent="0.3">
      <c r="A6" s="120" t="s">
        <v>131</v>
      </c>
      <c r="B6" s="120">
        <v>0.751</v>
      </c>
      <c r="C6" s="120">
        <v>0.73899999999999999</v>
      </c>
      <c r="D6" s="120">
        <v>0.57799999999999996</v>
      </c>
      <c r="E6" s="120">
        <v>0.109</v>
      </c>
      <c r="F6" s="120">
        <v>0.83399999999999996</v>
      </c>
      <c r="G6" s="120">
        <v>0.81299999999999994</v>
      </c>
      <c r="H6" s="120">
        <v>0.71399999999999997</v>
      </c>
      <c r="I6" s="120">
        <v>6.7000000000000004E-2</v>
      </c>
      <c r="J6" s="120">
        <v>0.76900000000000002</v>
      </c>
      <c r="K6" s="120">
        <v>0.755</v>
      </c>
      <c r="L6" s="120">
        <v>0.58799999999999997</v>
      </c>
      <c r="M6" s="120">
        <v>8.8999999999999996E-2</v>
      </c>
    </row>
    <row r="7" spans="1:13" hidden="1" x14ac:dyDescent="0.3">
      <c r="A7" s="120" t="s">
        <v>132</v>
      </c>
      <c r="B7" s="120">
        <v>0.78600000000000003</v>
      </c>
      <c r="C7" s="120">
        <v>0.80900000000000005</v>
      </c>
      <c r="D7" s="120">
        <v>0.66</v>
      </c>
      <c r="E7" s="120">
        <v>7.2999999999999995E-2</v>
      </c>
      <c r="F7" s="120">
        <v>0.84199999999999997</v>
      </c>
      <c r="G7" s="120">
        <v>0.85899999999999999</v>
      </c>
      <c r="H7" s="120">
        <v>0.76100000000000001</v>
      </c>
      <c r="I7" s="120">
        <v>5.5E-2</v>
      </c>
      <c r="J7" s="120">
        <v>0.75700000000000001</v>
      </c>
      <c r="K7" s="120">
        <v>0.79</v>
      </c>
      <c r="L7" s="120">
        <v>0.61499999999999999</v>
      </c>
      <c r="M7" s="120">
        <v>8.3000000000000004E-2</v>
      </c>
    </row>
    <row r="8" spans="1:13" hidden="1" x14ac:dyDescent="0.3">
      <c r="A8" s="120" t="s">
        <v>133</v>
      </c>
      <c r="B8" s="120">
        <v>0.82699999999999996</v>
      </c>
      <c r="C8" s="120">
        <v>0.83699999999999997</v>
      </c>
      <c r="D8" s="120">
        <v>0.71</v>
      </c>
      <c r="E8" s="120">
        <v>5.7000000000000002E-2</v>
      </c>
      <c r="F8" s="120">
        <v>0.90600000000000003</v>
      </c>
      <c r="G8" s="120">
        <v>0.90200000000000002</v>
      </c>
      <c r="H8" s="120">
        <v>0.83399999999999996</v>
      </c>
      <c r="I8" s="120">
        <v>3.2000000000000001E-2</v>
      </c>
      <c r="J8" s="120">
        <v>0.84799999999999998</v>
      </c>
      <c r="K8" s="120">
        <v>0.86699999999999999</v>
      </c>
      <c r="L8" s="120">
        <v>0.74099999999999999</v>
      </c>
      <c r="M8" s="120">
        <v>0.05</v>
      </c>
    </row>
    <row r="9" spans="1:13" hidden="1" x14ac:dyDescent="0.3">
      <c r="A9" s="120" t="s">
        <v>134</v>
      </c>
      <c r="B9" s="120">
        <v>0.76300000000000001</v>
      </c>
      <c r="C9" s="120">
        <v>0.78400000000000003</v>
      </c>
      <c r="D9" s="120">
        <v>0.61799999999999999</v>
      </c>
      <c r="E9" s="120">
        <v>8.6999999999999994E-2</v>
      </c>
      <c r="F9" s="120">
        <v>0.88600000000000001</v>
      </c>
      <c r="G9" s="120">
        <v>0.89200000000000002</v>
      </c>
      <c r="H9" s="120">
        <v>0.80300000000000005</v>
      </c>
      <c r="I9" s="120">
        <v>3.9E-2</v>
      </c>
      <c r="J9" s="120">
        <v>0.82699999999999996</v>
      </c>
      <c r="K9" s="120">
        <v>0.85899999999999999</v>
      </c>
      <c r="L9" s="120">
        <v>0.71399999999999997</v>
      </c>
      <c r="M9" s="120">
        <v>5.5E-2</v>
      </c>
    </row>
    <row r="10" spans="1:13" hidden="1" x14ac:dyDescent="0.3">
      <c r="A10" s="120" t="s">
        <v>142</v>
      </c>
      <c r="B10" s="120">
        <v>0.77800000000000002</v>
      </c>
      <c r="C10" s="120">
        <v>0.81599999999999995</v>
      </c>
      <c r="D10" s="120">
        <v>0.66100000000000003</v>
      </c>
      <c r="E10" s="120">
        <v>6.9000000000000006E-2</v>
      </c>
      <c r="F10" s="120">
        <v>0.88800000000000001</v>
      </c>
      <c r="G10" s="120">
        <v>0.91200000000000003</v>
      </c>
      <c r="H10" s="120">
        <v>0.83799999999999997</v>
      </c>
      <c r="I10" s="120">
        <v>3.3000000000000002E-2</v>
      </c>
      <c r="J10" s="120">
        <v>0.83399999999999996</v>
      </c>
      <c r="K10" s="120">
        <v>0.877</v>
      </c>
      <c r="L10" s="120">
        <v>0.75</v>
      </c>
      <c r="M10" s="120">
        <v>0.05</v>
      </c>
    </row>
    <row r="11" spans="1:13" hidden="1" x14ac:dyDescent="0.3">
      <c r="A11" s="120" t="s">
        <v>135</v>
      </c>
      <c r="B11" s="120">
        <v>0.81799999999999995</v>
      </c>
      <c r="C11" s="120">
        <v>0.85199999999999998</v>
      </c>
      <c r="D11" s="120">
        <v>0.71699999999999997</v>
      </c>
      <c r="E11" s="120">
        <v>5.1999999999999998E-2</v>
      </c>
      <c r="F11" s="120">
        <v>0.90200000000000002</v>
      </c>
      <c r="G11" s="120">
        <v>0.91200000000000003</v>
      </c>
      <c r="H11" s="120">
        <v>0.83799999999999997</v>
      </c>
      <c r="I11" s="120">
        <v>0.03</v>
      </c>
      <c r="J11" s="120">
        <v>0.84699999999999998</v>
      </c>
      <c r="K11" s="120">
        <v>0.88300000000000001</v>
      </c>
      <c r="L11" s="120">
        <v>0.754</v>
      </c>
      <c r="M11" s="120">
        <v>4.7E-2</v>
      </c>
    </row>
    <row r="12" spans="1:13" hidden="1" x14ac:dyDescent="0.3">
      <c r="A12" s="120" t="s">
        <v>136</v>
      </c>
      <c r="B12" s="120">
        <v>0.81100000000000005</v>
      </c>
      <c r="C12" s="120">
        <v>0.81299999999999994</v>
      </c>
      <c r="D12" s="120">
        <v>0.70899999999999996</v>
      </c>
      <c r="E12" s="120">
        <v>9.8000000000000004E-2</v>
      </c>
      <c r="F12" s="120">
        <v>0.91800000000000004</v>
      </c>
      <c r="G12" s="120">
        <v>0.91200000000000003</v>
      </c>
      <c r="H12" s="120">
        <v>0.84799999999999998</v>
      </c>
      <c r="I12" s="120">
        <v>2.9000000000000001E-2</v>
      </c>
      <c r="J12" s="120">
        <v>0.85299999999999998</v>
      </c>
      <c r="K12" s="120">
        <v>0.86399999999999999</v>
      </c>
      <c r="L12" s="120">
        <v>0.74299999999999999</v>
      </c>
      <c r="M12" s="120">
        <v>5.2999999999999999E-2</v>
      </c>
    </row>
    <row r="13" spans="1:13" hidden="1" x14ac:dyDescent="0.3">
      <c r="A13" s="120" t="s">
        <v>137</v>
      </c>
      <c r="B13" s="120">
        <v>0.83899999999999997</v>
      </c>
      <c r="C13" s="120">
        <v>0.83</v>
      </c>
      <c r="D13" s="120">
        <v>0.72599999999999998</v>
      </c>
      <c r="E13" s="120">
        <v>7.5999999999999998E-2</v>
      </c>
      <c r="F13" s="120">
        <v>0.91200000000000003</v>
      </c>
      <c r="G13" s="120">
        <v>0.89900000000000002</v>
      </c>
      <c r="H13" s="120">
        <v>0.82899999999999996</v>
      </c>
      <c r="I13" s="120">
        <v>0.03</v>
      </c>
      <c r="J13" s="120">
        <v>0.86099999999999999</v>
      </c>
      <c r="K13" s="120">
        <v>0.86</v>
      </c>
      <c r="L13" s="120">
        <v>0.73899999999999999</v>
      </c>
      <c r="M13" s="120">
        <v>0.05</v>
      </c>
    </row>
    <row r="14" spans="1:13" hidden="1" x14ac:dyDescent="0.3">
      <c r="A14" s="120" t="s">
        <v>138</v>
      </c>
      <c r="B14" s="120">
        <v>0.76</v>
      </c>
      <c r="C14" s="120">
        <v>0.79600000000000004</v>
      </c>
      <c r="D14" s="120">
        <v>0.64</v>
      </c>
      <c r="E14" s="120">
        <v>0.08</v>
      </c>
      <c r="F14" s="120">
        <v>0.873</v>
      </c>
      <c r="G14" s="120">
        <v>0.89900000000000002</v>
      </c>
      <c r="H14" s="120">
        <v>0.82299999999999995</v>
      </c>
      <c r="I14" s="120">
        <v>3.6999999999999998E-2</v>
      </c>
      <c r="J14" s="120">
        <v>0.81399999999999995</v>
      </c>
      <c r="K14" s="120">
        <v>0.86399999999999999</v>
      </c>
      <c r="L14" s="120">
        <v>0.73399999999999999</v>
      </c>
      <c r="M14" s="120">
        <v>5.5E-2</v>
      </c>
    </row>
    <row r="15" spans="1:13" hidden="1" x14ac:dyDescent="0.3">
      <c r="A15" s="120" t="s">
        <v>139</v>
      </c>
      <c r="B15" s="120">
        <v>0.81</v>
      </c>
      <c r="C15" s="120">
        <v>0.84199999999999997</v>
      </c>
      <c r="D15" s="120">
        <v>0.71699999999999997</v>
      </c>
      <c r="E15" s="120">
        <v>7.6999999999999999E-2</v>
      </c>
      <c r="F15" s="120">
        <v>0.91</v>
      </c>
      <c r="G15" s="120">
        <v>0.92100000000000004</v>
      </c>
      <c r="H15" s="120">
        <v>0.84699999999999998</v>
      </c>
      <c r="I15" s="120">
        <v>3.4000000000000002E-2</v>
      </c>
      <c r="J15" s="120">
        <v>0.86399999999999999</v>
      </c>
      <c r="K15" s="120">
        <v>0.89100000000000001</v>
      </c>
      <c r="L15" s="120">
        <v>0.77800000000000002</v>
      </c>
      <c r="M15" s="120">
        <v>4.8000000000000001E-2</v>
      </c>
    </row>
    <row r="16" spans="1:13" hidden="1" x14ac:dyDescent="0.3">
      <c r="A16" s="120" t="s">
        <v>140</v>
      </c>
      <c r="B16" s="120">
        <v>0.871</v>
      </c>
      <c r="C16" s="120">
        <v>0.89500000000000002</v>
      </c>
      <c r="D16" s="120">
        <v>0.80300000000000005</v>
      </c>
      <c r="E16" s="120">
        <v>4.4999999999999998E-2</v>
      </c>
      <c r="F16" s="120">
        <v>0.91500000000000004</v>
      </c>
      <c r="G16" s="120">
        <v>0.93300000000000005</v>
      </c>
      <c r="H16" s="120">
        <v>0.88</v>
      </c>
      <c r="I16" s="120">
        <v>2.7E-2</v>
      </c>
      <c r="J16" s="120">
        <v>0.86799999999999999</v>
      </c>
      <c r="K16" s="120">
        <v>0.89600000000000002</v>
      </c>
      <c r="L16" s="120">
        <v>0.79900000000000004</v>
      </c>
      <c r="M16" s="120">
        <v>4.2999999999999997E-2</v>
      </c>
    </row>
    <row r="17" spans="1:13" hidden="1" x14ac:dyDescent="0.3">
      <c r="A17" s="120" t="s">
        <v>141</v>
      </c>
      <c r="B17" s="120">
        <v>0.89800000000000002</v>
      </c>
      <c r="C17" s="120">
        <v>0.92800000000000005</v>
      </c>
      <c r="D17" s="120">
        <v>0.877</v>
      </c>
      <c r="E17" s="120">
        <v>2.7E-2</v>
      </c>
      <c r="F17" s="120">
        <v>0.93600000000000005</v>
      </c>
      <c r="G17" s="120">
        <v>0.94899999999999995</v>
      </c>
      <c r="H17" s="120">
        <v>0.91100000000000003</v>
      </c>
      <c r="I17" s="120">
        <v>1.7000000000000001E-2</v>
      </c>
      <c r="J17" s="120">
        <v>0.89900000000000002</v>
      </c>
      <c r="K17" s="120">
        <v>0.94099999999999995</v>
      </c>
      <c r="L17" s="120">
        <v>0.84899999999999998</v>
      </c>
      <c r="M17" s="120">
        <v>2.8000000000000001E-2</v>
      </c>
    </row>
    <row r="18" spans="1:13" hidden="1" x14ac:dyDescent="0.3">
      <c r="A18" t="s">
        <v>145</v>
      </c>
      <c r="B18">
        <v>0.872</v>
      </c>
      <c r="C18">
        <v>0.91</v>
      </c>
      <c r="D18">
        <v>0.81399999999999995</v>
      </c>
      <c r="E18">
        <v>3.5999999999999997E-2</v>
      </c>
      <c r="F18">
        <v>0.92100000000000004</v>
      </c>
      <c r="G18">
        <v>0.94899999999999995</v>
      </c>
      <c r="H18">
        <v>0.88100000000000001</v>
      </c>
      <c r="I18">
        <v>2.3E-2</v>
      </c>
      <c r="J18">
        <v>0.875</v>
      </c>
      <c r="K18">
        <v>0.92</v>
      </c>
      <c r="L18">
        <v>0.81699999999999995</v>
      </c>
      <c r="M18">
        <v>3.6999999999999998E-2</v>
      </c>
    </row>
    <row r="19" spans="1:13" hidden="1" x14ac:dyDescent="0.3">
      <c r="A19" t="s">
        <v>146</v>
      </c>
      <c r="B19">
        <v>0.88300000000000001</v>
      </c>
      <c r="C19">
        <v>0.92100000000000004</v>
      </c>
      <c r="D19">
        <v>0.83399999999999996</v>
      </c>
      <c r="E19">
        <v>3.1E-2</v>
      </c>
      <c r="F19">
        <v>0.92700000000000005</v>
      </c>
      <c r="G19">
        <v>0.95599999999999996</v>
      </c>
      <c r="H19">
        <v>0.89300000000000002</v>
      </c>
      <c r="I19">
        <v>0.02</v>
      </c>
      <c r="J19">
        <v>0.88700000000000001</v>
      </c>
      <c r="K19">
        <v>0.92900000000000005</v>
      </c>
      <c r="L19">
        <v>0.84099999999999997</v>
      </c>
      <c r="M19">
        <v>3.3000000000000002E-2</v>
      </c>
    </row>
    <row r="20" spans="1:13" x14ac:dyDescent="0.3">
      <c r="A20" s="159" t="s">
        <v>147</v>
      </c>
      <c r="B20" s="120">
        <v>91.1</v>
      </c>
      <c r="C20" s="120">
        <v>93.9</v>
      </c>
      <c r="D20" s="120">
        <v>88.3</v>
      </c>
      <c r="E20" s="120">
        <v>2.9</v>
      </c>
      <c r="F20" s="120">
        <v>96</v>
      </c>
      <c r="G20" s="120">
        <v>97.8</v>
      </c>
      <c r="H20" s="120">
        <v>94.8</v>
      </c>
      <c r="I20" s="120">
        <v>1.2</v>
      </c>
      <c r="J20" s="120">
        <v>91.9</v>
      </c>
      <c r="K20" s="120">
        <v>96.1</v>
      </c>
      <c r="L20" s="120">
        <v>90.2</v>
      </c>
      <c r="M20" s="120">
        <v>2.4</v>
      </c>
    </row>
    <row r="21" spans="1:13" x14ac:dyDescent="0.3">
      <c r="A21" s="159" t="s">
        <v>143</v>
      </c>
      <c r="B21" s="120">
        <v>87.6</v>
      </c>
      <c r="C21" s="120">
        <v>89.7</v>
      </c>
      <c r="D21" s="120">
        <v>80.3</v>
      </c>
      <c r="E21" s="120">
        <v>3.9</v>
      </c>
      <c r="F21" s="120">
        <v>92.8</v>
      </c>
      <c r="G21" s="120">
        <v>93.9</v>
      </c>
      <c r="H21" s="120">
        <v>86.8</v>
      </c>
      <c r="I21" s="120">
        <v>2.2000000000000002</v>
      </c>
      <c r="J21" s="120">
        <v>88.1</v>
      </c>
      <c r="K21" s="120">
        <v>91.6</v>
      </c>
      <c r="L21" s="120">
        <v>82.1</v>
      </c>
      <c r="M21" s="120">
        <v>3.7</v>
      </c>
    </row>
    <row r="22" spans="1:13" x14ac:dyDescent="0.3">
      <c r="A22" s="159" t="s">
        <v>149</v>
      </c>
      <c r="B22" s="160">
        <v>93.9</v>
      </c>
      <c r="C22" s="160">
        <v>96.8</v>
      </c>
      <c r="D22" s="160">
        <v>91.1</v>
      </c>
      <c r="E22" s="160">
        <v>1.8</v>
      </c>
      <c r="F22" s="160">
        <v>95.7</v>
      </c>
      <c r="G22" s="160">
        <v>98</v>
      </c>
      <c r="H22" s="160">
        <v>93.6</v>
      </c>
      <c r="I22" s="160">
        <v>1.3</v>
      </c>
      <c r="J22" s="160">
        <v>92.9</v>
      </c>
      <c r="K22" s="160">
        <v>96.3</v>
      </c>
      <c r="L22" s="160">
        <v>90.1</v>
      </c>
      <c r="M22" s="160">
        <v>2.2000000000000002</v>
      </c>
    </row>
    <row r="23" spans="1:13" x14ac:dyDescent="0.3">
      <c r="A23" s="121" t="s">
        <v>144</v>
      </c>
      <c r="B23" s="120">
        <v>88.8</v>
      </c>
      <c r="C23" s="120">
        <v>92.2</v>
      </c>
      <c r="D23" s="120">
        <v>84.3</v>
      </c>
      <c r="E23" s="120">
        <v>3.6</v>
      </c>
      <c r="F23" s="120">
        <v>93.1</v>
      </c>
      <c r="G23" s="120">
        <v>95.9</v>
      </c>
      <c r="H23" s="120">
        <v>90.2</v>
      </c>
      <c r="I23" s="120">
        <v>2.2999999999999998</v>
      </c>
      <c r="J23" s="120">
        <v>87.9</v>
      </c>
      <c r="K23" s="120">
        <v>92.1</v>
      </c>
      <c r="L23" s="120">
        <v>83.5</v>
      </c>
      <c r="M23" s="120">
        <v>3.9</v>
      </c>
    </row>
    <row r="24" spans="1:13" x14ac:dyDescent="0.3">
      <c r="A24" s="159" t="s">
        <v>148</v>
      </c>
      <c r="B24" s="160">
        <v>90.4</v>
      </c>
      <c r="C24" s="160">
        <v>93.5</v>
      </c>
      <c r="D24" s="160">
        <v>86.3</v>
      </c>
      <c r="E24" s="160">
        <v>3.2</v>
      </c>
      <c r="F24" s="160">
        <v>94.4</v>
      </c>
      <c r="G24" s="160">
        <v>97.2</v>
      </c>
      <c r="H24" s="160">
        <v>91.8</v>
      </c>
      <c r="I24" s="160">
        <v>1.6</v>
      </c>
      <c r="J24" s="160">
        <v>90.2</v>
      </c>
      <c r="K24" s="160">
        <v>94.2</v>
      </c>
      <c r="L24" s="160">
        <v>86.4</v>
      </c>
      <c r="M24" s="160">
        <v>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2024-06-13T00:02:11Z</dcterms:created>
  <dcterms:modified xsi:type="dcterms:W3CDTF">2024-09-04T02:26:03Z</dcterms:modified>
</cp:coreProperties>
</file>